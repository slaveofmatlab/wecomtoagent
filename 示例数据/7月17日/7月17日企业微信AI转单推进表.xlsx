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工作表1" sheetId="1" r:id="rId1"/>
    <sheet name="工作表2" sheetId="2" r:id="rId2"/>
  </sheets>
  <definedNames>
    <definedName name="_xlnm._FilterDatabase" localSheetId="0" hidden="1">工作表1!$A$1:$J$289</definedName>
    <definedName name="notifyRange">工作表1!$F$273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<sst xmlns="http://schemas.openxmlformats.org/spreadsheetml/2006/main" count="2573" uniqueCount="809">
  <si>
    <t>序号</t>
  </si>
  <si>
    <t>城市</t>
  </si>
  <si>
    <t>运营公司</t>
  </si>
  <si>
    <t>企业微信群名称</t>
  </si>
  <si>
    <t>项目点代码</t>
  </si>
  <si>
    <t>项目点名称</t>
  </si>
  <si>
    <t>备注</t>
  </si>
  <si>
    <t>创建人</t>
  </si>
  <si>
    <t>是否加群-张利拉</t>
  </si>
  <si>
    <t>IT是否配置完成-邓虎</t>
  </si>
  <si>
    <t>群ID</t>
  </si>
  <si>
    <t>深圳</t>
  </si>
  <si>
    <t>深圳市德立安食品有限公司</t>
  </si>
  <si>
    <t>德立安～太子湾逸菲下单群</t>
  </si>
  <si>
    <t>BIZ20240710105439</t>
  </si>
  <si>
    <t>深圳市裕顺达酒店管理有限公司</t>
  </si>
  <si>
    <t xml:space="preserve"> </t>
  </si>
  <si>
    <t>OK-0625</t>
  </si>
  <si>
    <t>OK</t>
  </si>
  <si>
    <t>浙江</t>
  </si>
  <si>
    <t>浙江/丰厨(上海)供应链管理有限公司</t>
  </si>
  <si>
    <t>商旅-武林之星项目业务对接群</t>
  </si>
  <si>
    <t>KHXMD1152</t>
  </si>
  <si>
    <t>商旅-干调</t>
  </si>
  <si>
    <t>一个群多个项目点下单</t>
  </si>
  <si>
    <t>OK-0701</t>
  </si>
  <si>
    <t>删除</t>
  </si>
  <si>
    <t>KHXMD1076</t>
  </si>
  <si>
    <t>杭州商旅进出口贸易有限公司</t>
  </si>
  <si>
    <t>海谯汇-益海嘉里（丰厨）</t>
  </si>
  <si>
    <t>KHXMD4918</t>
  </si>
  <si>
    <t>亳州海谯汇后勤管理服务有限公司</t>
  </si>
  <si>
    <t>益海深度合作推进群</t>
  </si>
  <si>
    <t>KHXMD9425</t>
  </si>
  <si>
    <t>浙江智汇配送有限公司利辛分公司</t>
  </si>
  <si>
    <t>杭州工厂-丰厨供应链业务对接群</t>
  </si>
  <si>
    <t>KHXMD0941</t>
  </si>
  <si>
    <t>ZH-SP-ZLAQZN 益嘉工业-工厂食堂</t>
  </si>
  <si>
    <t>杭州央厨-供应链业务对接群</t>
  </si>
  <si>
    <t>KHXMD2477</t>
  </si>
  <si>
    <t>益嘉丰厨-干调</t>
  </si>
  <si>
    <t>KHXMD1565</t>
  </si>
  <si>
    <t>杭州央厨-冻品</t>
  </si>
  <si>
    <t>KHXMD0243</t>
  </si>
  <si>
    <t>益嘉丰厨（杭州）食品有限公司</t>
  </si>
  <si>
    <t>益分销PLUS-深圳国际会展中心洲际酒店</t>
  </si>
  <si>
    <t>BIZ20230510111217</t>
  </si>
  <si>
    <t>深圳市招华国际会展发展有限公司深圳国际会展中心洲际酒店 -会展湾中港广场6栋A座</t>
  </si>
  <si>
    <t>德立安-辉胜阁订单群</t>
  </si>
  <si>
    <t>BIZ20240814142654</t>
  </si>
  <si>
    <t>深圳市中航城置业发展有限公司辉盛阁国际公寓分公司</t>
  </si>
  <si>
    <t>德立安-富悦订单群</t>
  </si>
  <si>
    <t>BIZ20250605134442</t>
  </si>
  <si>
    <t>富悦(深圳)酒店管理有限公司</t>
  </si>
  <si>
    <t>西安</t>
  </si>
  <si>
    <t>益海嘉里德立安(陕西)食品有限公司</t>
  </si>
  <si>
    <t>德立安-温德姆酒店下单群</t>
  </si>
  <si>
    <t>BIZ20240511112021</t>
  </si>
  <si>
    <t>西安豪享来投资控股有限公司豪享来温德姆至尊酒店</t>
  </si>
  <si>
    <t>德立安-悦来下单群</t>
  </si>
  <si>
    <t>BIZ20230506163709</t>
  </si>
  <si>
    <t>西安悦来酒店管理有限公司曲江新区分公司</t>
  </si>
  <si>
    <t>西安/丰厨(上海)供应链管理有限公司</t>
  </si>
  <si>
    <t>冀三姐下单群</t>
  </si>
  <si>
    <t>KHXMD1819</t>
  </si>
  <si>
    <t>益海-大寨路天悦店</t>
  </si>
  <si>
    <t>KHXMD1820</t>
  </si>
  <si>
    <t>益海-财富中心店</t>
  </si>
  <si>
    <t>KHXMD1823</t>
  </si>
  <si>
    <t>益海-遇见SPA（高新路店）</t>
  </si>
  <si>
    <t>KHXMD1825</t>
  </si>
  <si>
    <t>益海-悦竹SPA(海荣豪佳花园店)</t>
  </si>
  <si>
    <t>KHXMD1827</t>
  </si>
  <si>
    <t>益海-如遇SPA（凤城六路店）</t>
  </si>
  <si>
    <t>KHXMD1829</t>
  </si>
  <si>
    <t>益海-意品足浴(海璟蓝寓店)</t>
  </si>
  <si>
    <t>KHXMD1831</t>
  </si>
  <si>
    <t>益海-云端沐足（凤城五路）</t>
  </si>
  <si>
    <t>丰厨-强华学校客户下单群</t>
  </si>
  <si>
    <t>KHXMD2371</t>
  </si>
  <si>
    <t>陕西科技大学强华学校</t>
  </si>
  <si>
    <t>北京</t>
  </si>
  <si>
    <t>北京/丰厨(上海)供应链管理有限公司</t>
  </si>
  <si>
    <t>丰厨_顺天府工作群</t>
  </si>
  <si>
    <t>KHXMD5034</t>
  </si>
  <si>
    <t>顺天府</t>
  </si>
  <si>
    <t>丰厨&amp;亲和源内部沟通群</t>
  </si>
  <si>
    <t>KHXMD4276</t>
  </si>
  <si>
    <t>亲和源</t>
  </si>
  <si>
    <t>上海</t>
  </si>
  <si>
    <t>上海/丰厨(上海)供应链管理有限公司</t>
  </si>
  <si>
    <t>同济大学内部沟通群</t>
  </si>
  <si>
    <t>KHXMD3998</t>
  </si>
  <si>
    <t>同济大学</t>
  </si>
  <si>
    <t>中兴-丰厨沟通群</t>
  </si>
  <si>
    <t>KHXMD09724</t>
  </si>
  <si>
    <t>中兴</t>
  </si>
  <si>
    <t>神农氏内部沟通群</t>
  </si>
  <si>
    <t>KHXMD4589</t>
  </si>
  <si>
    <t>神农氏-森兰国际</t>
  </si>
  <si>
    <t>KHXMD2687</t>
  </si>
  <si>
    <t>神农氏</t>
  </si>
  <si>
    <t>朗富&amp;丰厨供应链沟通群（金龙鱼）</t>
  </si>
  <si>
    <t>KHXMD0321</t>
  </si>
  <si>
    <t>上海朗富</t>
  </si>
  <si>
    <t>德立安&amp;星茉下单群</t>
  </si>
  <si>
    <t>KHXMD09449</t>
  </si>
  <si>
    <t>西安星茉餐饮管理有限公司</t>
  </si>
  <si>
    <t>葡国餐厅对账接单群</t>
  </si>
  <si>
    <t>BIZ20191231110214</t>
  </si>
  <si>
    <t>西安圣路易葡国餐饮有限公司</t>
  </si>
  <si>
    <t>OK-0626</t>
  </si>
  <si>
    <t>郑州</t>
  </si>
  <si>
    <t>郑州/丰厨(上海)供应链管理有限公司</t>
  </si>
  <si>
    <t>益海-工厂买菜私聊</t>
  </si>
  <si>
    <t>KHXMD1615</t>
  </si>
  <si>
    <t>郑州工厂食堂</t>
  </si>
  <si>
    <t>周口天天向上-丰厨供应链沟通群</t>
  </si>
  <si>
    <t>KHXMD5022</t>
  </si>
  <si>
    <t>天天向上</t>
  </si>
  <si>
    <t>益海&amp;全季郑汴路供应对接群</t>
  </si>
  <si>
    <t>KHXMD4984</t>
  </si>
  <si>
    <t>全季酒店</t>
  </si>
  <si>
    <t>益海嘉里食品营销有限公司上海分公司</t>
  </si>
  <si>
    <t>索迪斯内部沟通群</t>
  </si>
  <si>
    <t xml:space="preserve">
KHXMD0210</t>
  </si>
  <si>
    <t>索迪斯</t>
  </si>
  <si>
    <t>丰厨_农科院工作群</t>
  </si>
  <si>
    <t>KHXMD8797</t>
  </si>
  <si>
    <t>北京农科院</t>
  </si>
  <si>
    <t>德立安-乐班下单群</t>
  </si>
  <si>
    <t>KHXMD09894</t>
  </si>
  <si>
    <t>航天产业基地</t>
  </si>
  <si>
    <t>一个群多个项目点下单，需要修改项目点</t>
  </si>
  <si>
    <t>KHXMD10179</t>
  </si>
  <si>
    <t>航天产业基地-冷链配送</t>
  </si>
  <si>
    <t>德立安&amp;宝鸡海棠下单群</t>
  </si>
  <si>
    <t>BIZ20181211152507</t>
  </si>
  <si>
    <t>宝鸡海棠酒店有限公司海棠假日酒店</t>
  </si>
  <si>
    <t>德立安&amp;与其同行下单群</t>
  </si>
  <si>
    <t>KHXMD09660</t>
  </si>
  <si>
    <t>西安与其同行食品有限公司</t>
  </si>
  <si>
    <t>成都</t>
  </si>
  <si>
    <t>成都/丰厨(成都)供应链管理有限公司</t>
  </si>
  <si>
    <t>成都鹏瑞利自动转单群</t>
  </si>
  <si>
    <t>KHXMD09776</t>
  </si>
  <si>
    <t>成都/智能餐线</t>
  </si>
  <si>
    <t>KHXMD09726</t>
  </si>
  <si>
    <t>成都/接待餐</t>
  </si>
  <si>
    <t>KHXMD09723</t>
  </si>
  <si>
    <t>成都/减脂餐</t>
  </si>
  <si>
    <t>KHXMD09687</t>
  </si>
  <si>
    <t>成都/VIP早餐</t>
  </si>
  <si>
    <t>KHXMD09661</t>
  </si>
  <si>
    <t>成都/智能餐线早餐</t>
  </si>
  <si>
    <t>KHXMD09637</t>
  </si>
  <si>
    <t>成都/VIP档口</t>
  </si>
  <si>
    <t>KHXMD09406</t>
  </si>
  <si>
    <t>成都/5楼</t>
  </si>
  <si>
    <t>KHXMD09044</t>
  </si>
  <si>
    <t>成都/咖啡吧</t>
  </si>
  <si>
    <t>KHXMD000202</t>
  </si>
  <si>
    <t>成都/易耗品</t>
  </si>
  <si>
    <t>KHXMD000103</t>
  </si>
  <si>
    <t>成都/面档</t>
  </si>
  <si>
    <t>KHXMD001501</t>
  </si>
  <si>
    <t>成都/点心房</t>
  </si>
  <si>
    <t>KHXMD281922</t>
  </si>
  <si>
    <t>成都/小卖部</t>
  </si>
  <si>
    <t>KHXMD00112201</t>
  </si>
  <si>
    <t>成都/主食库</t>
  </si>
  <si>
    <t>KHXMD00104401</t>
  </si>
  <si>
    <t>成都/一楼冷饮</t>
  </si>
  <si>
    <t>丰厨&amp;延长下单群</t>
  </si>
  <si>
    <t>KHXMD10103</t>
  </si>
  <si>
    <t>陕西延长石油实业集团综合服务有限公司</t>
  </si>
  <si>
    <t>OK-0629</t>
  </si>
  <si>
    <t>安徽奇瑞自动接单群</t>
  </si>
  <si>
    <t>KHXMD09856</t>
  </si>
  <si>
    <t>芜湖奇瑞-日化</t>
  </si>
  <si>
    <t>KHXMD09470</t>
  </si>
  <si>
    <t>大连奇瑞-日化</t>
  </si>
  <si>
    <t>KHXMD04043</t>
  </si>
  <si>
    <t>芜湖瑞鲸-易耗品</t>
  </si>
  <si>
    <t>KHXMD9356</t>
  </si>
  <si>
    <t>芜湖瑞鲸-日化</t>
  </si>
  <si>
    <t>KHXMD3947</t>
  </si>
  <si>
    <t>芜湖奇瑞-易耗品</t>
  </si>
  <si>
    <t>KHXMD2696</t>
  </si>
  <si>
    <t>芜湖奇瑞-米面油</t>
  </si>
  <si>
    <t>上海-【竹筷子】机器人接单群</t>
  </si>
  <si>
    <t>KHXMD8813</t>
  </si>
  <si>
    <t>竹筷子-众腾大厦</t>
  </si>
  <si>
    <t>KHXMD2828</t>
  </si>
  <si>
    <t>竹筷子-谷水食堂加工部</t>
  </si>
  <si>
    <t>KHXMD2661</t>
  </si>
  <si>
    <t>竹筷子-赫贤学校食堂</t>
  </si>
  <si>
    <t>KHXMD2563</t>
  </si>
  <si>
    <t>竹筷子-佘山店</t>
  </si>
  <si>
    <t>KHXMD1283</t>
  </si>
  <si>
    <t>竹筷子-谷水食堂</t>
  </si>
  <si>
    <t>KHXMD1282</t>
  </si>
  <si>
    <t>竹筷子-周星食堂</t>
  </si>
  <si>
    <t>上海-【荷特宝】机器人接单群</t>
  </si>
  <si>
    <t>KHXMD000055</t>
  </si>
  <si>
    <t>上咨</t>
  </si>
  <si>
    <t>KHXMD2632</t>
  </si>
  <si>
    <t>盖瑞特</t>
  </si>
  <si>
    <t>KHXMD1929</t>
  </si>
  <si>
    <t>国华.合悦家</t>
  </si>
  <si>
    <t>KHXMD1227</t>
  </si>
  <si>
    <t>上海华勤</t>
  </si>
  <si>
    <t>KHXMD1009</t>
  </si>
  <si>
    <t>新华医院</t>
  </si>
  <si>
    <t>KHXMD0882</t>
  </si>
  <si>
    <t>十三大区-积塔</t>
  </si>
  <si>
    <t>KHXMD0885</t>
  </si>
  <si>
    <t>四大区-集创</t>
  </si>
  <si>
    <t>KHXMD0886</t>
  </si>
  <si>
    <t>质检院-江月路</t>
  </si>
  <si>
    <t>KHXMD0889</t>
  </si>
  <si>
    <t>巴斯夫</t>
  </si>
  <si>
    <t>KHXMD0890</t>
  </si>
  <si>
    <t>华南大区-康德国际学校</t>
  </si>
  <si>
    <t>KHXMD0893</t>
  </si>
  <si>
    <t>华南大区-NDB银行</t>
  </si>
  <si>
    <t>KHXMD0894</t>
  </si>
  <si>
    <t>奇华顿餐厅</t>
  </si>
  <si>
    <t>KHXMD0897</t>
  </si>
  <si>
    <t>一大区-水上2号餐厅</t>
  </si>
  <si>
    <t>KHXMD0898</t>
  </si>
  <si>
    <t>质检院-苍梧路</t>
  </si>
  <si>
    <t>KHXMD0901</t>
  </si>
  <si>
    <t>六大区-水上餐厅</t>
  </si>
  <si>
    <t>KHXMD0902</t>
  </si>
  <si>
    <t>三大区-巨人</t>
  </si>
  <si>
    <t>KHXMD0905</t>
  </si>
  <si>
    <t>六大区-SK大厦</t>
  </si>
  <si>
    <t>KHXMD0906</t>
  </si>
  <si>
    <t>一大区-南汇中央厨房</t>
  </si>
  <si>
    <t>KHXMD0908</t>
  </si>
  <si>
    <t>一大区-可乐</t>
  </si>
  <si>
    <t>KHXMD0910</t>
  </si>
  <si>
    <t>三大区-苏州微软</t>
  </si>
  <si>
    <t>上海-【人寿堂】机器人接单群</t>
  </si>
  <si>
    <t>KHXMD09700</t>
  </si>
  <si>
    <t>味益丰-天宝</t>
  </si>
  <si>
    <t>KHXMD09698</t>
  </si>
  <si>
    <t>味益嘉-天宝</t>
  </si>
  <si>
    <t>KHXMD09063</t>
  </si>
  <si>
    <t>味益丰-二院</t>
  </si>
  <si>
    <t>KHXMD09064</t>
  </si>
  <si>
    <t>味益丰-宝山院</t>
  </si>
  <si>
    <t>KHXMD09065</t>
  </si>
  <si>
    <t>味益丰-衡山院（文逸）</t>
  </si>
  <si>
    <t>KHXMD09066</t>
  </si>
  <si>
    <t>味益丰-天山</t>
  </si>
  <si>
    <t>KHXMD09052</t>
  </si>
  <si>
    <t>味益丰-长者照护之家</t>
  </si>
  <si>
    <t>KHXMD09053</t>
  </si>
  <si>
    <t>味益丰-逸仙虹福</t>
  </si>
  <si>
    <t>KHXMD09054</t>
  </si>
  <si>
    <t>味益丰-一院</t>
  </si>
  <si>
    <t>KHXMD09055</t>
  </si>
  <si>
    <t>味益丰-协和院</t>
  </si>
  <si>
    <t>KHXMD09056</t>
  </si>
  <si>
    <t>味益丰-五院</t>
  </si>
  <si>
    <t>KHXMD09057</t>
  </si>
  <si>
    <t>味益丰-四院</t>
  </si>
  <si>
    <t>KHXMD09058</t>
  </si>
  <si>
    <t>味益丰-三院</t>
  </si>
  <si>
    <t>KHXMD09059</t>
  </si>
  <si>
    <t>味益丰-嘉定院（柠嘉)</t>
  </si>
  <si>
    <t>KHXMD09060</t>
  </si>
  <si>
    <t>味益丰-华漕院</t>
  </si>
  <si>
    <t>KHXMD09061</t>
  </si>
  <si>
    <t>味益丰-虹桥院（颐养院）</t>
  </si>
  <si>
    <t>KHXMD09062</t>
  </si>
  <si>
    <t>味益丰-奉贤院</t>
  </si>
  <si>
    <t>KHXMD0368</t>
  </si>
  <si>
    <t>味益嘉-长者照护之家</t>
  </si>
  <si>
    <t>KHXMD0367</t>
  </si>
  <si>
    <t>味益嘉-逸仙虹福</t>
  </si>
  <si>
    <t>KHXMD0366</t>
  </si>
  <si>
    <t>味益嘉-一院</t>
  </si>
  <si>
    <t>KHXMD0365</t>
  </si>
  <si>
    <t>味益嘉-协和院</t>
  </si>
  <si>
    <t>KHXMD0364</t>
  </si>
  <si>
    <t>味益嘉-五院</t>
  </si>
  <si>
    <t>KHXMD0363</t>
  </si>
  <si>
    <t>味益嘉-四院</t>
  </si>
  <si>
    <t>KHXMD0362</t>
  </si>
  <si>
    <t>味益嘉-三院</t>
  </si>
  <si>
    <t>KHXMD0361</t>
  </si>
  <si>
    <t>味益嘉-嘉定院（柠嘉)</t>
  </si>
  <si>
    <t>KHXMD0360</t>
  </si>
  <si>
    <t>味益嘉-华漕院</t>
  </si>
  <si>
    <t>KHXMD0359</t>
  </si>
  <si>
    <t>味益嘉-虹桥院（颐养院）</t>
  </si>
  <si>
    <t>KHXMD0358</t>
  </si>
  <si>
    <t>味益嘉-奉贤院</t>
  </si>
  <si>
    <t>KHXMD0357</t>
  </si>
  <si>
    <t>味益嘉-二院</t>
  </si>
  <si>
    <t>KHXMD0356</t>
  </si>
  <si>
    <t>味益嘉-宝山院</t>
  </si>
  <si>
    <t>KHXMD0355</t>
  </si>
  <si>
    <t>味益嘉-衡山院（文逸）</t>
  </si>
  <si>
    <t>KHXMD0354</t>
  </si>
  <si>
    <t>味益嘉-天山</t>
  </si>
  <si>
    <t>工行&amp;丰厨沟通群</t>
  </si>
  <si>
    <t>KHXMD10144</t>
  </si>
  <si>
    <t>工商银行</t>
  </si>
  <si>
    <t>有更改项目点</t>
  </si>
  <si>
    <t>益彩（上海）供应链管理有限公司</t>
  </si>
  <si>
    <t>益彩-营销公司PDF抓单群</t>
  </si>
  <si>
    <t>KHXMD10186</t>
  </si>
  <si>
    <t>益海嘉里食品营销有限公司VK</t>
  </si>
  <si>
    <t>OK-0703</t>
  </si>
  <si>
    <t>益彩PDF抓单群</t>
  </si>
  <si>
    <t>KHXMD09244</t>
  </si>
  <si>
    <t>彩食鲜北京大兴物流仓</t>
  </si>
  <si>
    <t>人寿堂供应链业务对接群</t>
  </si>
  <si>
    <t>益海-中商（罗森）蔬菜供应沟通群</t>
  </si>
  <si>
    <t>KHXMD4983</t>
  </si>
  <si>
    <t>马鞍山中商罗森</t>
  </si>
  <si>
    <t>粮贝铁路生鲜订单群</t>
  </si>
  <si>
    <t>KHXMD09778</t>
  </si>
  <si>
    <t>商南桥梁</t>
  </si>
  <si>
    <t>KHXMD09760</t>
  </si>
  <si>
    <t>杏花营料场</t>
  </si>
  <si>
    <t>KHXMD09753</t>
  </si>
  <si>
    <t>开封材料基地</t>
  </si>
  <si>
    <t>KHXMD09697</t>
  </si>
  <si>
    <t>民权线路车间宁陵工区</t>
  </si>
  <si>
    <t>KHXMD09618</t>
  </si>
  <si>
    <t>商丘北线路车间南疏解工区</t>
  </si>
  <si>
    <t>KHXMD09468</t>
  </si>
  <si>
    <t>开封商丘动力设备车间</t>
  </si>
  <si>
    <t>KHXMD09467</t>
  </si>
  <si>
    <t>民权线路车间值守点</t>
  </si>
  <si>
    <t>KHXMD09466</t>
  </si>
  <si>
    <t>开封车间维修二工区</t>
  </si>
  <si>
    <t>KHXMD09465</t>
  </si>
  <si>
    <t>商丘桥梁车间兰考驻点</t>
  </si>
  <si>
    <t>KHXMD09404</t>
  </si>
  <si>
    <t>商丘线路车间打磨组</t>
  </si>
  <si>
    <t>KHXMD09403</t>
  </si>
  <si>
    <t>民权线路车间谢集工区</t>
  </si>
  <si>
    <t>KHXMD09270</t>
  </si>
  <si>
    <t>商丘北车间</t>
  </si>
  <si>
    <t>KHXMD09269</t>
  </si>
  <si>
    <t>商丘南站线路车间木兰工区</t>
  </si>
  <si>
    <t>KHXMD09267</t>
  </si>
  <si>
    <t>商丘桥梁</t>
  </si>
  <si>
    <t>KHXMD09261</t>
  </si>
  <si>
    <t>商丘南站线路车间伊尹工区</t>
  </si>
  <si>
    <t>KHXMD09260</t>
  </si>
  <si>
    <t>动力设备车间郑州轨道车2</t>
  </si>
  <si>
    <t>KHXMD09229</t>
  </si>
  <si>
    <t>新郑线路车间官厅工区</t>
  </si>
  <si>
    <t>KHXMD09228</t>
  </si>
  <si>
    <t>T5新郑线路车间维修二工区</t>
  </si>
  <si>
    <t>KHXMD09227</t>
  </si>
  <si>
    <t>T5新郑线路车间</t>
  </si>
  <si>
    <t>KHXMD09226</t>
  </si>
  <si>
    <t>T9 黄河桥梁养修工区</t>
  </si>
  <si>
    <t>KHXMD09225</t>
  </si>
  <si>
    <t>T8黄河桥梁车间</t>
  </si>
  <si>
    <t>KHXMD09219</t>
  </si>
  <si>
    <t>T6郑州桥梁车间</t>
  </si>
  <si>
    <t>KHXMD09218</t>
  </si>
  <si>
    <t>郑州检查监控车间商丘探伤队</t>
  </si>
  <si>
    <t>KHXMD09217</t>
  </si>
  <si>
    <t>T7郑州检查监控车间郑州探伤队</t>
  </si>
  <si>
    <t>KHXMD09216</t>
  </si>
  <si>
    <t>T7检查监控车间</t>
  </si>
  <si>
    <t>KHXMD09215</t>
  </si>
  <si>
    <t>商丘桥梁车间兰考驻地</t>
  </si>
  <si>
    <t>KHXMD09214</t>
  </si>
  <si>
    <t>商丘桥梁车间商南工区</t>
  </si>
  <si>
    <t>KHXMD09213</t>
  </si>
  <si>
    <t>商丘桥梁车间商西工区</t>
  </si>
  <si>
    <t>KHXMD09212</t>
  </si>
  <si>
    <t>商丘桥梁车间</t>
  </si>
  <si>
    <t>KHXMD09211</t>
  </si>
  <si>
    <t>商丘北线路车间三</t>
  </si>
  <si>
    <t>KHXMD09210</t>
  </si>
  <si>
    <t>商丘北线路车间二</t>
  </si>
  <si>
    <t>KHXMD09209</t>
  </si>
  <si>
    <t>商丘北线路车间一</t>
  </si>
  <si>
    <t>KHXMD09208</t>
  </si>
  <si>
    <t>商丘南站线路车间维修一工区</t>
  </si>
  <si>
    <t>KHXMD09207</t>
  </si>
  <si>
    <t>T12海棠寺维修一工区</t>
  </si>
  <si>
    <t>KHXMD09206</t>
  </si>
  <si>
    <t>T9海棠寺广武工区</t>
  </si>
  <si>
    <t>KHXMD09205</t>
  </si>
  <si>
    <t>郑州综合机修商丘焊轨队</t>
  </si>
  <si>
    <t>KHXMD09204</t>
  </si>
  <si>
    <t>T7郑州综合机修郑州焊轨队</t>
  </si>
  <si>
    <t>KHXMD09203</t>
  </si>
  <si>
    <t>T7郑州综合机修车间</t>
  </si>
  <si>
    <t>KHXMD09202</t>
  </si>
  <si>
    <t>商丘线路车间维修三工区</t>
  </si>
  <si>
    <t>KHXMD09201</t>
  </si>
  <si>
    <t>商丘线路车间维修二工区</t>
  </si>
  <si>
    <t>KHXMD09200</t>
  </si>
  <si>
    <t>商丘线路车间维修一工区</t>
  </si>
  <si>
    <t>KHXMD09199</t>
  </si>
  <si>
    <t>民权线路车间</t>
  </si>
  <si>
    <t>KHXMD09198</t>
  </si>
  <si>
    <t>民权线路车间维修工区</t>
  </si>
  <si>
    <t>KHXMD09197</t>
  </si>
  <si>
    <t>兰考线路车间</t>
  </si>
  <si>
    <t>KHXMD09196</t>
  </si>
  <si>
    <t>T7 郑州综合维修车间</t>
  </si>
  <si>
    <t>KHXMD09195</t>
  </si>
  <si>
    <t>开封线路维修一工区杏花营车站</t>
  </si>
  <si>
    <t>KHXMD09194</t>
  </si>
  <si>
    <t>T12郑州线路车间北站维修工区</t>
  </si>
  <si>
    <t>KHXMD09193</t>
  </si>
  <si>
    <t>开封线路维修二工区</t>
  </si>
  <si>
    <t>KHXMD09192</t>
  </si>
  <si>
    <t>T6郑州线路车间综合维修工区</t>
  </si>
  <si>
    <t>KHXMD09191</t>
  </si>
  <si>
    <t>T6郑州线路车间</t>
  </si>
  <si>
    <t>KHXMD09190</t>
  </si>
  <si>
    <t>开封线路车间</t>
  </si>
  <si>
    <t>KHXMD09189</t>
  </si>
  <si>
    <t>T6郑州北线路三车间</t>
  </si>
  <si>
    <t>KHXMD09188</t>
  </si>
  <si>
    <t>T7郑州北线路二车间</t>
  </si>
  <si>
    <t>KHXMD09187</t>
  </si>
  <si>
    <t>T6郑州北线路一车间教练工区</t>
  </si>
  <si>
    <t>KHXMD09186</t>
  </si>
  <si>
    <t>T5新郑综合维修车间检查工区</t>
  </si>
  <si>
    <t>KHXMD09185</t>
  </si>
  <si>
    <t>T6郑州北线路一车间</t>
  </si>
  <si>
    <t>KHXMD09184</t>
  </si>
  <si>
    <t>T5 新郑综合维修车间维修工区</t>
  </si>
  <si>
    <t>KHXMD09183</t>
  </si>
  <si>
    <t>T1圃田西线路车间维二工区</t>
  </si>
  <si>
    <t>KHXMD09182</t>
  </si>
  <si>
    <t>T2圃田西线路车间维一工区</t>
  </si>
  <si>
    <t>KHXMD09181</t>
  </si>
  <si>
    <t>T1圃田西线路车间中牟站</t>
  </si>
  <si>
    <t>KHXMD09180</t>
  </si>
  <si>
    <t>许昌线路车间长葛工区</t>
  </si>
  <si>
    <t>KHXMD09179</t>
  </si>
  <si>
    <t>许昌线路车间临颍工区</t>
  </si>
  <si>
    <t>KHXMD09178</t>
  </si>
  <si>
    <t>T1圃田西线路车间</t>
  </si>
  <si>
    <t>KHXMD09177</t>
  </si>
  <si>
    <t>许昌线路车间</t>
  </si>
  <si>
    <t>KHXMD09176</t>
  </si>
  <si>
    <t>T11中原线路车间</t>
  </si>
  <si>
    <t>KHXMD09175</t>
  </si>
  <si>
    <t>T6职工食堂小计机关</t>
  </si>
  <si>
    <t>铁路标品转单群</t>
  </si>
  <si>
    <t>KHXMD10232</t>
  </si>
  <si>
    <t>食堂-民权北站</t>
  </si>
  <si>
    <t>KHXMD10230</t>
  </si>
  <si>
    <t>食堂-沈丘北站</t>
  </si>
  <si>
    <t>KHXMD10219</t>
  </si>
  <si>
    <t>食堂-郏县站</t>
  </si>
  <si>
    <t>KHXMD10203</t>
  </si>
  <si>
    <t>食堂-许昌东站</t>
  </si>
  <si>
    <t>KHXMD10199</t>
  </si>
  <si>
    <t>食堂-李老师</t>
  </si>
  <si>
    <t>KHXMD10198</t>
  </si>
  <si>
    <t>食堂-鄢陵站</t>
  </si>
  <si>
    <t>KHXMD10197</t>
  </si>
  <si>
    <t>食堂-桥隧车间</t>
  </si>
  <si>
    <t>KHXMD10183</t>
  </si>
  <si>
    <t>食堂-培训基地-第二餐厅</t>
  </si>
  <si>
    <t>KHXMD10182</t>
  </si>
  <si>
    <t>食堂-培训基地-第一餐厅</t>
  </si>
  <si>
    <t>KHXMD10180</t>
  </si>
  <si>
    <t>食堂-开封北站</t>
  </si>
  <si>
    <t>KHXMD10178</t>
  </si>
  <si>
    <t>食堂-禹州站</t>
  </si>
  <si>
    <t>KHXMD10176</t>
  </si>
  <si>
    <t>KHXMD10175</t>
  </si>
  <si>
    <t>食堂-维修四车间一分队</t>
  </si>
  <si>
    <t>KHXMD10174</t>
  </si>
  <si>
    <t>食堂-李茂宽</t>
  </si>
  <si>
    <t>KHXMD10173</t>
  </si>
  <si>
    <t>食堂-宋城路站</t>
  </si>
  <si>
    <t>KHXMD10172</t>
  </si>
  <si>
    <t>食堂-南曹站</t>
  </si>
  <si>
    <t>KHXMD10171</t>
  </si>
  <si>
    <t>食堂-周口东站</t>
  </si>
  <si>
    <t>KHXMD10170</t>
  </si>
  <si>
    <t>食堂-西华站</t>
  </si>
  <si>
    <t>KHXMD10169</t>
  </si>
  <si>
    <t>食堂-淮阳南站</t>
  </si>
  <si>
    <t>KHXMD10168</t>
  </si>
  <si>
    <t>食堂-扶沟南站</t>
  </si>
  <si>
    <t>KHXMD10167</t>
  </si>
  <si>
    <t>食堂-孟庄站</t>
  </si>
  <si>
    <t>KHXMD10195</t>
  </si>
  <si>
    <t>工行-仓库</t>
  </si>
  <si>
    <t>一个群多个项目点下单，更新项目点</t>
  </si>
  <si>
    <t xml:space="preserve">删除 </t>
  </si>
  <si>
    <t>KHXMD10196</t>
  </si>
  <si>
    <t>工行-小卖部</t>
  </si>
  <si>
    <t>工行-大厨房</t>
  </si>
  <si>
    <t>德立安北京转单群</t>
  </si>
  <si>
    <t>KHXMD8951</t>
  </si>
  <si>
    <t>北京索菲特</t>
  </si>
  <si>
    <t>OK-0706</t>
  </si>
  <si>
    <t>KHXMD8950</t>
  </si>
  <si>
    <t>北京东方君悦</t>
  </si>
  <si>
    <t>北京丰厨转单群</t>
  </si>
  <si>
    <t>KHXMD10121</t>
  </si>
  <si>
    <t>锦食坊</t>
  </si>
  <si>
    <t>KHXMD09659</t>
  </si>
  <si>
    <t>盛禾锦顺</t>
  </si>
  <si>
    <t>KHXMD00031</t>
  </si>
  <si>
    <t>超市发</t>
  </si>
  <si>
    <t>工行内部沟通群</t>
  </si>
  <si>
    <t>一个群多个项目点下单，更新群</t>
  </si>
  <si>
    <t>益海嘉里德立安（杭州）食品有限公司</t>
  </si>
  <si>
    <t>杭州德立安运营AI转单群</t>
  </si>
  <si>
    <t>BIZ20220629091044</t>
  </si>
  <si>
    <t>杭州平高酒店集团有限公司</t>
  </si>
  <si>
    <t>BIZ20230223162304</t>
  </si>
  <si>
    <t>杭州滨奥酒店管理有限公司</t>
  </si>
  <si>
    <t>KHXMD9316</t>
  </si>
  <si>
    <t>杭州名人名家家诺餐饮管理有限公司-宇视科技</t>
  </si>
  <si>
    <t>KHXMD9280</t>
  </si>
  <si>
    <t>杭州名人名家家诺餐饮管理有限公司-金卡</t>
  </si>
  <si>
    <t>KHXMD8945</t>
  </si>
  <si>
    <t>杭州名人名家家诺餐饮管理有限公司-萧山</t>
  </si>
  <si>
    <t>BIZ20231226193733</t>
  </si>
  <si>
    <t>杭州名人名家家诺餐饮管理有限公司上城分公司</t>
  </si>
  <si>
    <t>BIZ20250928191416</t>
  </si>
  <si>
    <t>杭州名人名家家诺餐饮管理有限公司-浙江农商联合银行财务富大厦</t>
  </si>
  <si>
    <t>KHXMD9466</t>
  </si>
  <si>
    <t>杭州家诺餐饮管理有限公司-滨江</t>
  </si>
  <si>
    <t>KHXMD8936</t>
  </si>
  <si>
    <t>杭州家诺餐饮管理有限公司-富阳</t>
  </si>
  <si>
    <t>KHXMD10138</t>
  </si>
  <si>
    <t>凯隆后勤管理集团有限公司杭州第二分公司-恒生中心</t>
  </si>
  <si>
    <t>KHXMD9398</t>
  </si>
  <si>
    <t>凯隆后勤管理集团有限公司-包厢</t>
  </si>
  <si>
    <t>BIZ20221113172430</t>
  </si>
  <si>
    <t>凯隆后勤管理集团有限公司 -大华总部</t>
  </si>
  <si>
    <t>BIZ20251015142320</t>
  </si>
  <si>
    <t>杭州友好饭店有限公司</t>
  </si>
  <si>
    <t>KHXMD09586</t>
  </si>
  <si>
    <t>浙江开元酒店管理股份有限公司杭州下城分公司</t>
  </si>
  <si>
    <t>KHXMD9312</t>
  </si>
  <si>
    <t>北京西部马华餐饮管理有限公司-杭州阿里</t>
  </si>
  <si>
    <t>BIZ20251017182410</t>
  </si>
  <si>
    <t>杭州西部马华餐饮管理有限公司余杭第三分公司-阿里二店</t>
  </si>
  <si>
    <t>BIZ20251224195132</t>
  </si>
  <si>
    <t>杭州西部马华餐饮管理有限公司余杭第一分公司</t>
  </si>
  <si>
    <t>BIZ20251224200011</t>
  </si>
  <si>
    <t>杭州西部马华餐饮管理有限公司余杭第二分公司</t>
  </si>
  <si>
    <t>KHXMD9585</t>
  </si>
  <si>
    <t>大连海事大学-一餐厅</t>
  </si>
  <si>
    <t>KHXMD9575</t>
  </si>
  <si>
    <t>大连海事大学附属学校-附校餐厅</t>
  </si>
  <si>
    <t>KHXMD9573</t>
  </si>
  <si>
    <t>大连海事大学-中心一楼</t>
  </si>
  <si>
    <t>KHXMD9429</t>
  </si>
  <si>
    <t>大连海事大学-中心三楼</t>
  </si>
  <si>
    <t>KHXMD9128</t>
  </si>
  <si>
    <t>大连海事大学 -幼儿园</t>
  </si>
  <si>
    <t>KHXMD00193</t>
  </si>
  <si>
    <t>沈阳快一餐饮有限公司-大连海事大学心海餐厅</t>
  </si>
  <si>
    <t>KHXMD9327</t>
  </si>
  <si>
    <t>泉润佰合餐饮管理有限公司 （大连海事大学中心二楼）</t>
  </si>
  <si>
    <t>KHXMD9223</t>
  </si>
  <si>
    <t>北京泰福荣轩餐饮管理有限公司大连分公司-海事大学第五餐厅</t>
  </si>
  <si>
    <t>KHXMD9222</t>
  </si>
  <si>
    <t>江苏安信餐饮管理有限公司-大连海事大学一餐厅二楼</t>
  </si>
  <si>
    <t>BIZ20240401150755</t>
  </si>
  <si>
    <t>青岛书香味道餐饮管理有限公司-海事大学二餐厅</t>
  </si>
  <si>
    <t>BIZ202406181554571</t>
  </si>
  <si>
    <t>杭州十里芳菲文化发展有限公司</t>
  </si>
  <si>
    <t>BIZ20200519164220</t>
  </si>
  <si>
    <t>杭州华展房地产开发有限公司艺珺酒店分公司</t>
  </si>
  <si>
    <t>天津</t>
  </si>
  <si>
    <t>益海津农德立安（天津）供应链管理有限公司</t>
  </si>
  <si>
    <t>天津瑞吉酒店 德立安服务群</t>
  </si>
  <si>
    <t>KHXMD09991</t>
  </si>
  <si>
    <t>金融街津门（天津）置业有限公司圣瑞吉斯酒店-天津市和平区</t>
  </si>
  <si>
    <t>OK-0707</t>
  </si>
  <si>
    <t>浙江丰厨运营AI转单群</t>
  </si>
  <si>
    <t>KHXMD2476</t>
  </si>
  <si>
    <t>杭州五星铝业有限公司食堂</t>
  </si>
  <si>
    <t>KHXMD2815</t>
  </si>
  <si>
    <t>五星食堂-四楼</t>
  </si>
  <si>
    <t>德立安&amp;米屋下单群</t>
  </si>
  <si>
    <t>KHXMD8844</t>
  </si>
  <si>
    <t>西安市高新区米屋美食餐厅</t>
  </si>
  <si>
    <t>德立安陕西-栀初-如意茵香茂御酒店下单</t>
  </si>
  <si>
    <t>KHXMD10306</t>
  </si>
  <si>
    <t>栀初-如意茵香茂御酒店</t>
  </si>
  <si>
    <t>三亚</t>
  </si>
  <si>
    <t>三亚德立安食品有限公司</t>
  </si>
  <si>
    <t>三亚天域酒店--德立安沟通群</t>
  </si>
  <si>
    <t>BIZ20171017184035</t>
  </si>
  <si>
    <t>三亚天域实业有限公司天域度假酒店</t>
  </si>
  <si>
    <t>OK-0708</t>
  </si>
  <si>
    <t>陵水绿城蓝湾威斯汀酒店--德立安沟通群</t>
  </si>
  <si>
    <t>BIZ20210716154253</t>
  </si>
  <si>
    <t>海南绿城高地投资有限公司蓝湾绿城威斯汀度假酒店</t>
  </si>
  <si>
    <t>信津洲际&amp;德立安沟通群</t>
  </si>
  <si>
    <t>BIZ21180801154530</t>
  </si>
  <si>
    <t>三亚信津酒店管理有限公司洲际度假酒店</t>
  </si>
  <si>
    <t>海口华彩洲际--德立安沟通群</t>
  </si>
  <si>
    <t>BIZ20231218135650</t>
  </si>
  <si>
    <t>海南华彩置业有限公司洲际酒店分公司</t>
  </si>
  <si>
    <t>三亚亚龙湾维景酒店--德立安沟通群</t>
  </si>
  <si>
    <t>BIZ201901041434091</t>
  </si>
  <si>
    <t>三亚华凯酒店管理有限公司维景国际度假酒店</t>
  </si>
  <si>
    <t>仁恒皇冠&amp;德立安沟通群</t>
  </si>
  <si>
    <t>BIZ20171211110904</t>
  </si>
  <si>
    <t>三亚仁恒置业有限公司皇冠假日酒店</t>
  </si>
  <si>
    <t>德立安～同泰下单群</t>
  </si>
  <si>
    <t>KHXMD8803</t>
  </si>
  <si>
    <t>同泰电子实业(深圳)有限公司深圳同泰万怡酒店</t>
  </si>
  <si>
    <t>企业微信-德立安&amp;亚龙湾喜来登接收</t>
  </si>
  <si>
    <t>B1Z20250802163601</t>
  </si>
  <si>
    <t>三亚盈湾旅业有限公司喜来登度假酒店</t>
  </si>
  <si>
    <t>凯杰&amp;德立安沟通群</t>
  </si>
  <si>
    <t>BIZ20210305151923</t>
  </si>
  <si>
    <t>三亚凯杰食品有限公司</t>
  </si>
  <si>
    <t>OK-0710</t>
  </si>
  <si>
    <t>重庆</t>
  </si>
  <si>
    <t>重庆/丰厨(成都)供应链管理有限公司</t>
  </si>
  <si>
    <t>晨科鸡蛋厂下单沟通群</t>
  </si>
  <si>
    <t>KHXMD00025</t>
  </si>
  <si>
    <t>重庆益海晨科鸡蛋厂</t>
  </si>
  <si>
    <t>江津粮油工厂&amp;丰厨供应链开单群</t>
  </si>
  <si>
    <t>KHXMD00004</t>
  </si>
  <si>
    <t>重庆江津工厂</t>
  </si>
  <si>
    <t>KHXMD10235</t>
  </si>
  <si>
    <t>大兴工厂</t>
  </si>
  <si>
    <t>广州</t>
  </si>
  <si>
    <t>广州益嘉德立安食品有限公司</t>
  </si>
  <si>
    <t>中山华邑&amp;逸衡采购沟通群（德立安）</t>
  </si>
  <si>
    <t>KHXMD04150</t>
  </si>
  <si>
    <t>广东金喾汇酒店管理有限责任公司-中山石岐区孙文东路28号</t>
  </si>
  <si>
    <t>KHXMD00015</t>
  </si>
  <si>
    <t>现代农业小鸡工厂</t>
  </si>
  <si>
    <t>成都/丰厨(上海)供应链管理有限公司</t>
  </si>
  <si>
    <t>上海-长城汽车机器人接单群</t>
  </si>
  <si>
    <t>KHXMD10437</t>
  </si>
  <si>
    <t>买进卖出档口</t>
  </si>
  <si>
    <t>企微群从客户系统导出订单数据</t>
  </si>
  <si>
    <t>OK-0715</t>
  </si>
  <si>
    <t>KHXMD3247</t>
  </si>
  <si>
    <t>遂宁宿舍餐厅</t>
  </si>
  <si>
    <t>KHXMD3246</t>
  </si>
  <si>
    <t>遂宁综合楼餐厅</t>
  </si>
  <si>
    <t>KHXMD3245</t>
  </si>
  <si>
    <t>遂宁生产餐厅</t>
  </si>
  <si>
    <t>成都-长城汽车机器人接单群</t>
  </si>
  <si>
    <t>KHXMD2760</t>
  </si>
  <si>
    <t>成都餐厅</t>
  </si>
  <si>
    <t>三亚大东海酒店&amp;德立安沟通群</t>
  </si>
  <si>
    <t>BIZ202107060846251</t>
  </si>
  <si>
    <t>三亚大东海酒店有限公司 -三亚市吉阳区榆海路1号</t>
  </si>
  <si>
    <t>OK-0716</t>
  </si>
  <si>
    <t>三亚胜意酒店&amp;德立安沟通群</t>
  </si>
  <si>
    <t>BIZ20230509100115</t>
  </si>
  <si>
    <t>三亚胜意贸易发展有限公司三亚胜意海景酒店 -三亚胜意海景酒店</t>
  </si>
  <si>
    <t>三亚半山半岛洲际&amp;德立安沟通群</t>
  </si>
  <si>
    <t>BIZ20171109134738</t>
  </si>
  <si>
    <t>三亚鹿回头旅游区开发有限公司三亚半山半岛洲际度假酒店</t>
  </si>
  <si>
    <t>海口君华海逸酒店&amp;德立安沟通群</t>
  </si>
  <si>
    <t>BIZ202005291454042</t>
  </si>
  <si>
    <t>海南君华海逸酒店有限公司</t>
  </si>
  <si>
    <t>wrigAJEAAAFuEvg1ObWhcmy2q_M6Wq3g</t>
  </si>
  <si>
    <t>邓虎</t>
  </si>
  <si>
    <t>AI_QUAN，DMS_PLUS</t>
  </si>
  <si>
    <t>wrigAJEAAADTfUfEE9mk0HLoKlK_PSfw</t>
  </si>
  <si>
    <t>wrigAJEAAAbgyZq1soc1RQFfTj-hKASg</t>
  </si>
  <si>
    <t>wrigAJEAAAouZAnW_S8Ep_O8DHKzadDA</t>
  </si>
  <si>
    <t>wrigAJEAAAVSKtIQLmQz6mPCgLHHiFFw</t>
  </si>
  <si>
    <t>wrigAJEAAATmrWPjznHCmzprmkomUE6Q</t>
  </si>
  <si>
    <t>wrigAJEAAA36ZXYMgR51AmStwcCel6qA</t>
  </si>
  <si>
    <t>wrigAJEAAAXnRYN0xEAjkHJNDM7rVfyA</t>
  </si>
  <si>
    <t>wrigAJEAAA0lzFlH6VPwiKciUNqEMvOA</t>
  </si>
  <si>
    <t>wrigAJEAAA7Bel4G031c11PoW0PB74vA</t>
  </si>
  <si>
    <t>朗富供应链内部沟通群</t>
  </si>
  <si>
    <t>wrigAJEAAAxDUNa6sagRNhNOl5JWZ-NQ</t>
  </si>
  <si>
    <t>wrigAJEAAARXlFY1n6xfQtUF7kIjuuYw</t>
  </si>
  <si>
    <t>wrigAJEAAA3lK3LTgBjR95c3CgOYxl6w</t>
  </si>
  <si>
    <t>wrigAJEAAAZERO5PQcgQVEzdkR-PB48w</t>
  </si>
  <si>
    <t>wrigAJEAAAmaq9djC2cm72Ykvxcdi56w</t>
  </si>
  <si>
    <t>wrigAJEAAAIaOcKnHS_n8Sng7o0i8lAg</t>
  </si>
  <si>
    <t>益分销PLUS-会话测试验证</t>
  </si>
  <si>
    <t>wrigAJEAAAVQjIp4fV6vG0q3iOjJnzDA
（生产不配置）</t>
  </si>
  <si>
    <t>wrigAJEAAAmenCQfzrbif9EMeFSJARyQ</t>
  </si>
  <si>
    <t>wrigAJEAAAc-MieOJ_VVE-NKzT2BQkzA</t>
  </si>
  <si>
    <t>wrigAJEAAA66nO815fxLSbJbm4scVnag</t>
  </si>
  <si>
    <t>wrigAJEAAAEl6xt3_cT0cKx6HseW4h7A</t>
  </si>
  <si>
    <t>wrigAJEAAANkW08gwjVjZwD8vXc8PG4A</t>
  </si>
  <si>
    <t>wrigAJEAAAUhuJIfux6yVlBNcOdM4H8Q</t>
  </si>
  <si>
    <t>wrigAJEAAAp9U6c5s60Ii40nBSSUfHqw</t>
  </si>
  <si>
    <t>wrigAJEAAAu9_6Tqyhvzj7YB6Oth-gzw</t>
  </si>
  <si>
    <t>wrigAJEAAA6WrJotbzMQ1SlwWqkoWykg</t>
  </si>
  <si>
    <t>陈红姣</t>
  </si>
  <si>
    <t>wrigAJEAAAmwtbpxOuj9iCIeu2tq4vEA</t>
  </si>
  <si>
    <t>wrigAJEAAAEtJGi9pK0AJyh92DOGwpJw</t>
  </si>
  <si>
    <t>wrigAJEAAAOsnYFLLKWTfHUQlX-GQ87A</t>
  </si>
  <si>
    <t>wrigAJEAAAiUPBtOh1yVfxk2uT_l9RLA</t>
  </si>
  <si>
    <t>wrigAJEAAAvHVJBdRndOQSaF8EVW1Bjg</t>
  </si>
  <si>
    <t>wrigAJEAAA2ea5gJKgJ4UGI7MMANkOCw</t>
  </si>
  <si>
    <t>wrigAJEAAAX8i63ZrZ4HpWxkjIPX8sCQ</t>
  </si>
  <si>
    <t>wrigAJEAAABNOMMpx7Myp5c-W_btv9CA</t>
  </si>
  <si>
    <t>wrigAJEAAABvAid47TodgsutJDoQso_A</t>
  </si>
  <si>
    <t>wrigAJEAAAXOsrzQbNCbNY_1bEnMCuAw</t>
  </si>
  <si>
    <t>wrigAJEAAAymRm_zQ7WBUW073vppc8Wg</t>
  </si>
  <si>
    <t>wrigAJEAAA2SptTrK0CNgHG4IAxBEvFA</t>
  </si>
  <si>
    <t>wrigAJEAAANimi8seV9Zo2E3sQyplUvg</t>
  </si>
  <si>
    <t>wrigAJEAAAe2NsHQAkhgbX1oY65LY8xw</t>
  </si>
  <si>
    <t>wrigAJEAAATFcoRR62rWM94GBObBMHow</t>
  </si>
  <si>
    <t>wrigAJEAAAfTP_LqvNuBeYhocgtfaF3A</t>
  </si>
  <si>
    <t>wrigAJEAAA4KoktJG0sUPh2pEDYtu0rA</t>
  </si>
  <si>
    <t>wrigAJEAAAmIHTBGttLsnui1xFR8fhww</t>
  </si>
  <si>
    <t>安徽分-供应链oem产品对接</t>
  </si>
  <si>
    <t>wrigAJEAAAsQDH7vvfDWPYx1L5jmK_cw</t>
  </si>
  <si>
    <t>北京分-供应链oem产品对接</t>
  </si>
  <si>
    <t>wrigAJEAAAPQOqlifrPl26osUSKUnk8w</t>
  </si>
  <si>
    <t>成都分-供应链oem产品对接</t>
  </si>
  <si>
    <t>wrigAJEAAAKCxIn_-2sZDlfuasu-gD-Q</t>
  </si>
  <si>
    <t>重庆分-供应链oem产品对接</t>
  </si>
  <si>
    <t>wrigAJEAAAwMSUF1QBg0ZEsaTQ7ESUPA</t>
  </si>
  <si>
    <t>广州分-供应链oem产品对接</t>
  </si>
  <si>
    <t>wrigAJEAAAzKomh6AAsTaCOrIYyfSvXg</t>
  </si>
  <si>
    <t>贵阳分-供应链oem产品对接</t>
  </si>
  <si>
    <t>wrigAJEAAAVjkkMfD2ILTcfgZ_tGlEZw</t>
  </si>
  <si>
    <t>哈尔滨&amp;长春分-供应链oem产品对接</t>
  </si>
  <si>
    <t>wrigAJEAAAkN6-z9R_VbDMWTjWlIhz9w</t>
  </si>
  <si>
    <t>济南分-供应链oem产品对接</t>
  </si>
  <si>
    <t>wrigAJEAAALlVkCeZHC_mJ7U4KiDnDkg</t>
  </si>
  <si>
    <t>昆明分-供应链oem产品对接</t>
  </si>
  <si>
    <t>wrigAJEAAAeslFEzg_ZTJAdDjrFI_2Bw</t>
  </si>
  <si>
    <t>兰州分-供应链oem产品对接</t>
  </si>
  <si>
    <t>wrigAJEAAASL6OLBIicG3isY0fcws-qw</t>
  </si>
  <si>
    <t>南昌分-供应链oem产品对接</t>
  </si>
  <si>
    <t>wrigAJEAAAf-uZJj4i3pK_15GdMI5A-A</t>
  </si>
  <si>
    <t>南京分-供应链oem产品对接</t>
  </si>
  <si>
    <t>wrigAJEAAA_TMtyjeecz_DFbYCLhqj_Q</t>
  </si>
  <si>
    <t>南宁分-供应链oem产品对接</t>
  </si>
  <si>
    <t>wrigAJEAAA39YQ7MBYjdoiKNhmaUbUdg</t>
  </si>
  <si>
    <t>秦皇岛分-供应链oem产品对接</t>
  </si>
  <si>
    <t>wrigAJEAAAXxI0vL-JbFxh1zXr1Hp9Ww</t>
  </si>
  <si>
    <t>厦门分-供应链oem产品对接</t>
  </si>
  <si>
    <t>wrigAJEAAAv3jIjhAKzzSlE2kxcwctJw</t>
  </si>
  <si>
    <t>上海分-供应链oem产品对接</t>
  </si>
  <si>
    <t>wrigAJEAAASzmE4SJs07QE47kaudzUpQ</t>
  </si>
  <si>
    <t>深圳分-供应链oem产品对接</t>
  </si>
  <si>
    <t>wrigAJEAAAtxOZgwLDkXUC4FUVR8VDvQ</t>
  </si>
  <si>
    <t>沈阳分-供应链oem产品对接</t>
  </si>
  <si>
    <t>wrigAJEAAAFj2QGVN9u-e4e5HVYzbfVA</t>
  </si>
  <si>
    <t>石家庄分-供应链oem产品对接</t>
  </si>
  <si>
    <t>wrigAJEAAAtFRBM_r_28cr0YWP7oC_ZA</t>
  </si>
  <si>
    <t>太原分-供应链oem产品对接</t>
  </si>
  <si>
    <t>wrigAJEAAAiihY0oBdoa5n9v1LWrffrA</t>
  </si>
  <si>
    <t>天津分-供应链oem产品对接</t>
  </si>
  <si>
    <t>wrigAJEAAAkXcTzQ4gOdroPoqItNKCfQ</t>
  </si>
  <si>
    <t>乌鲁木齐分-供应链oem产品对接</t>
  </si>
  <si>
    <t>wrigAJEAAAkl4Bu9dZqFfSzmmZZnfyIQ</t>
  </si>
  <si>
    <t>武汉分-供应链oem产品对接</t>
  </si>
  <si>
    <t>wrigAJEAAASc2nQbB6PYP0OjDZqGCdNw</t>
  </si>
  <si>
    <t>西安分-供应链oem产品对接</t>
  </si>
  <si>
    <t>wrigAJEAAAdbRRFMkpjDyhALCzAQAWXQ</t>
  </si>
  <si>
    <t>徐州分-供应链oem产品对接</t>
  </si>
  <si>
    <t>wrigAJEAAAFnlrX3KDrnuEdX258zw1Qw</t>
  </si>
  <si>
    <t>长沙分-供应链oem产品对接</t>
  </si>
  <si>
    <t>wrigAJEAAAOb-cGSBv27_L8OIJuzlCqw</t>
  </si>
  <si>
    <t>浙江分-供应链oem产品对接</t>
  </si>
  <si>
    <t>wrigAJEAAAA1sjfgBK2OaMeh-xp3NwZQ</t>
  </si>
  <si>
    <t>郑州&amp;周口分-供应链oem产品对接</t>
  </si>
  <si>
    <t>wrigAJEAAA0xta7ycDf5wxVzKW61afUQ</t>
  </si>
  <si>
    <t>wrigAJEAAAvhBRbYXHeWXOqwEPX0ZMPQ</t>
  </si>
  <si>
    <t>wrigAJEAAA04CQ4uoxOKOtE0w5vZ3dCA</t>
  </si>
  <si>
    <t>wrigAJEAAAJKty-JTFLW9itAbZ_go0UQ</t>
  </si>
  <si>
    <t>wrigAJEAAAKq5B_6tfwEuczD50tOSPfQ</t>
  </si>
  <si>
    <t>wrigAJEAAA0G1K8Vh1Aktlwxpe0WsSoQ</t>
  </si>
  <si>
    <t>wrigAJEAAAxNcmzy8tO9p9MJ18nr-sLg</t>
  </si>
  <si>
    <t>wrigAJEAAAjKZssLHb8pmlg2-Zpvv5yw</t>
  </si>
  <si>
    <t>wrigAJEAAANRvyCCA5xtayf-dJ0W6AAg</t>
  </si>
  <si>
    <t>wrigAJEAAALp2od1Fmfnpcjc65RFn-Hw</t>
  </si>
  <si>
    <t>wrigAJEAAAdhREmyqveSijpkBtEamTaQ</t>
  </si>
  <si>
    <t>wrigAJEAAAqLaBVGKGP_7DUHcHpeUwEw</t>
  </si>
  <si>
    <t>wrigAJEAAAtEZLOKfIba3MQ9ZXAgsYnA</t>
  </si>
  <si>
    <t>wrigAJEAAA-WrorVrRPVnDnE1U9BbidQ</t>
  </si>
  <si>
    <t>wrigAJEAAAjBvMJvOX-ej5xl2d9-f_qA</t>
  </si>
  <si>
    <t>wrigAJEAAAA7xEQBBN3w3Xdw-WCw1pBg</t>
  </si>
  <si>
    <t>wrigAJEAAAf4jako3fFEcnvoFSBO6qww</t>
  </si>
  <si>
    <t>wrigAJEAAAUh3vKCVjeNRLZFXo9QCCMg</t>
  </si>
  <si>
    <t>wrigAJEAAAJxTSBYq7_UjgAOZ85TeLbw</t>
  </si>
  <si>
    <t>wrigAJEAAAgJJzI-5ej6CXspBTWHHR1g</t>
  </si>
  <si>
    <t>wrigAJEAAA1U_UdU5xMUawy-Y2J4Nmcw</t>
  </si>
  <si>
    <t>wrigAJEAAALddYeTsVjOdYuTSS8XTUhg</t>
  </si>
  <si>
    <t>wrigAJEAAAmGlEVdITxo2FM4Gcft3FbQ</t>
  </si>
  <si>
    <t>三亚国光豪生酒店&amp;德立安沟通群</t>
  </si>
  <si>
    <t>wrigAJEAAAbDhxGTygrwIldObeIROadQ</t>
  </si>
  <si>
    <t>wrigAJEAAAD9CQ3Jcoip1LqIVDXE3Aag</t>
  </si>
  <si>
    <t>wrigAJEAAAeBZ9aYYmhwpwL8SUe6zjSA</t>
  </si>
  <si>
    <t>wrigAJEAAA63iPnj5nEdmaH0iCCs7Y1Q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</si>
</sst>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0"/>
      <color theme="1"/>
      <name val="等线"/>
      <charset val="134"/>
      <scheme val="minor"/>
    </font>
    <font>
      <sz val="12"/>
      <name val="等线"/>
      <charset val="134"/>
      <scheme val="minor"/>
    </font>
    <font>
      <sz val="9"/>
      <color rgb="FF484848"/>
      <name val="等线"/>
      <charset val="134"/>
      <scheme val="minor"/>
    </font>
    <font>
      <sz val="8"/>
      <name val="等线"/>
      <charset val="134"/>
      <scheme val="minor"/>
    </font>
    <font>
      <u/>
      <sz val="9"/>
      <color rgb="FF36867D"/>
      <name val="等线"/>
      <charset val="134"/>
      <scheme val="minor"/>
    </font>
    <font>
      <sz val="9"/>
      <name val="等线"/>
      <charset val="134"/>
      <scheme val="minor"/>
    </font>
    <font>
      <b/>
      <sz val="10"/>
      <name val="等线"/>
      <charset val="134"/>
      <scheme val="minor"/>
    </font>
    <font>
      <b/>
      <sz val="8"/>
      <name val="等线"/>
      <charset val="134"/>
      <scheme val="minor"/>
    </font>
    <font>
      <sz val="8"/>
      <color rgb="FF000000"/>
      <name val="等线"/>
      <charset val="134"/>
      <scheme val="minor"/>
    </font>
    <font>
      <sz val="8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7ECFF"/>
        <bgColor indexed="64"/>
      </patternFill>
    </fill>
    <fill>
      <patternFill patternType="solid">
        <fgColor rgb="FF98D7B6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C9C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9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0" borderId="8" applyNumberFormat="0" applyAlignment="0" applyProtection="0">
      <alignment vertical="center"/>
    </xf>
    <xf numFmtId="0" fontId="20" fillId="11" borderId="9" applyNumberFormat="0" applyAlignment="0" applyProtection="0">
      <alignment vertical="center"/>
    </xf>
    <xf numFmtId="0" fontId="21" fillId="11" borderId="8" applyNumberFormat="0" applyAlignment="0" applyProtection="0">
      <alignment vertical="center"/>
    </xf>
    <xf numFmtId="0" fontId="22" fillId="12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</cellStyleXfs>
  <cellXfs count="33">
    <xf numFmtId="0" fontId="0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0" xfId="0" applyFont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1" fillId="3" borderId="2" xfId="0" applyFont="1" applyFill="1" applyBorder="1" applyAlignment="1">
      <alignment vertical="center" wrapText="1"/>
    </xf>
    <xf numFmtId="0" fontId="1" fillId="2" borderId="2" xfId="0" applyFont="1" applyFill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7" fillId="4" borderId="1" xfId="0" applyFont="1" applyFill="1" applyBorder="1">
      <alignment vertical="center"/>
    </xf>
    <xf numFmtId="0" fontId="7" fillId="0" borderId="1" xfId="0" applyFont="1" applyBorder="1">
      <alignment vertical="center"/>
    </xf>
    <xf numFmtId="0" fontId="7" fillId="5" borderId="1" xfId="0" applyFont="1" applyFill="1" applyBorder="1" applyAlignment="1">
      <alignment horizontal="center" vertical="center"/>
    </xf>
    <xf numFmtId="0" fontId="7" fillId="2" borderId="1" xfId="0" applyFont="1" applyFill="1" applyBorder="1">
      <alignment vertical="center"/>
    </xf>
    <xf numFmtId="0" fontId="7" fillId="0" borderId="0" xfId="0" applyFo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6" borderId="1" xfId="0" applyFont="1" applyFill="1" applyBorder="1">
      <alignment vertical="center"/>
    </xf>
    <xf numFmtId="0" fontId="8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9" fillId="0" borderId="1" xfId="0" applyFont="1" applyBorder="1">
      <alignment vertical="center"/>
    </xf>
    <xf numFmtId="0" fontId="9" fillId="7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0" fontId="3" fillId="0" borderId="1" xfId="0" applyFont="1" applyBorder="1" applyAlignment="1"/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203"/>
  <sheetViews>
    <sheetView tabSelected="1" workbookViewId="0">
      <pane ySplit="1" topLeftCell="A276" activePane="bottomLeft" state="frozen"/>
      <selection/>
      <selection pane="bottomLeft" activeCell="E296" sqref="E296"/>
    </sheetView>
  </sheetViews>
  <sheetFormatPr defaultColWidth="9.81818181818182" defaultRowHeight="13"/>
  <cols>
    <col min="1" max="1" width="4.58181818181818" style="13" customWidth="1"/>
    <col min="2" max="2" width="6.60909090909091" style="9" customWidth="1"/>
    <col min="3" max="3" width="26.7" style="9" customWidth="1"/>
    <col min="4" max="4" width="27.2454545454545" style="13" customWidth="1"/>
    <col min="5" max="5" width="18.0727272727273" style="13" customWidth="1"/>
    <col min="6" max="6" width="55.6090909090909" style="13" customWidth="1"/>
    <col min="7" max="7" width="21.7090909090909" style="13" customWidth="1"/>
    <col min="8" max="8" width="6.87272727272727" style="14" customWidth="1"/>
    <col min="9" max="9" width="11.3363636363636" style="14" customWidth="1"/>
    <col min="10" max="10" width="9.44545454545455" style="13" customWidth="1"/>
    <col min="11" max="11" width="30.0272727272727" style="13" customWidth="1"/>
    <col min="12" max="12" width="5.26363636363636" style="13" customWidth="1"/>
    <col min="13" max="30" width="13.6727272727273" style="13"/>
  </cols>
  <sheetData>
    <row r="1" s="12" customFormat="1" ht="12.75" customHeight="1" spans="1:30">
      <c r="A1" s="15" t="s">
        <v>0</v>
      </c>
      <c r="B1" s="16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7" t="s">
        <v>7</v>
      </c>
      <c r="I1" s="17" t="s">
        <v>8</v>
      </c>
      <c r="J1" s="18" t="s">
        <v>9</v>
      </c>
      <c r="K1" s="19" t="s">
        <v>10</v>
      </c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</row>
    <row r="2" ht="12.75" customHeight="1" spans="1:30">
      <c r="A2" s="9">
        <v>1</v>
      </c>
      <c r="B2" s="9" t="s">
        <v>11</v>
      </c>
      <c r="C2" s="9" t="s">
        <v>12</v>
      </c>
      <c r="D2" s="9" t="s">
        <v>13</v>
      </c>
      <c r="E2" s="9" t="s">
        <v>14</v>
      </c>
      <c r="F2" s="9" t="s">
        <v>15</v>
      </c>
      <c r="G2" s="9" t="s">
        <v>16</v>
      </c>
      <c r="H2" s="20"/>
      <c r="I2" s="20" t="s">
        <v>17</v>
      </c>
      <c r="J2" s="21" t="s">
        <v>18</v>
      </c>
      <c r="K2" s="13" t="str">
        <f>_xlfn.XLOOKUP(D2,工作表2!A:A,工作表2!B:B)</f>
        <v>wrigAJEAAADTfUfEE9mk0HLoKlK_PSfw</v>
      </c>
    </row>
    <row r="3" ht="12.75" customHeight="1" spans="1:30">
      <c r="A3" s="9">
        <v>2</v>
      </c>
      <c r="B3" s="9" t="s">
        <v>19</v>
      </c>
      <c r="C3" s="9" t="s">
        <v>20</v>
      </c>
      <c r="D3" s="22" t="s">
        <v>21</v>
      </c>
      <c r="E3" s="9" t="s">
        <v>22</v>
      </c>
      <c r="F3" s="9" t="s">
        <v>23</v>
      </c>
      <c r="G3" s="9" t="s">
        <v>24</v>
      </c>
      <c r="H3" s="20"/>
      <c r="I3" s="20" t="s">
        <v>17</v>
      </c>
      <c r="J3" s="21" t="s">
        <v>25</v>
      </c>
      <c r="K3" s="13" t="str">
        <f>_xlfn.XLOOKUP(D3,工作表2!A:A,工作表2!B:B)</f>
        <v>wrigAJEAAA6WrJotbzMQ1SlwWqkoWykg</v>
      </c>
      <c r="L3" s="13" t="s">
        <v>26</v>
      </c>
    </row>
    <row r="4" ht="12.75" customHeight="1" spans="1:30">
      <c r="A4" s="9">
        <v>3</v>
      </c>
      <c r="B4" s="9" t="s">
        <v>19</v>
      </c>
      <c r="C4" s="9" t="s">
        <v>20</v>
      </c>
      <c r="D4" s="22" t="s">
        <v>21</v>
      </c>
      <c r="E4" s="9" t="s">
        <v>27</v>
      </c>
      <c r="F4" s="9" t="s">
        <v>28</v>
      </c>
      <c r="G4" s="9" t="s">
        <v>24</v>
      </c>
      <c r="H4" s="20"/>
      <c r="I4" s="20" t="s">
        <v>17</v>
      </c>
      <c r="J4" s="21" t="s">
        <v>25</v>
      </c>
      <c r="K4" s="13" t="str">
        <f>_xlfn.XLOOKUP(D4,工作表2!A:A,工作表2!B:B)</f>
        <v>wrigAJEAAA6WrJotbzMQ1SlwWqkoWykg</v>
      </c>
      <c r="L4" s="13" t="s">
        <v>26</v>
      </c>
    </row>
    <row r="5" ht="12.75" customHeight="1" spans="1:30">
      <c r="A5" s="9">
        <v>4</v>
      </c>
      <c r="B5" s="9" t="s">
        <v>19</v>
      </c>
      <c r="C5" s="9" t="s">
        <v>20</v>
      </c>
      <c r="D5" s="9" t="s">
        <v>29</v>
      </c>
      <c r="E5" s="9" t="s">
        <v>30</v>
      </c>
      <c r="F5" s="9" t="s">
        <v>31</v>
      </c>
      <c r="G5" s="9" t="s">
        <v>16</v>
      </c>
      <c r="H5" s="20"/>
      <c r="I5" s="20" t="s">
        <v>17</v>
      </c>
      <c r="J5" s="21" t="s">
        <v>18</v>
      </c>
      <c r="K5" s="13" t="str">
        <f>_xlfn.XLOOKUP(D5,工作表2!A:A,工作表2!B:B)</f>
        <v>wrigAJEAAAbgyZq1soc1RQFfTj-hKASg</v>
      </c>
      <c r="L5" s="13" t="s">
        <v>26</v>
      </c>
    </row>
    <row r="6" ht="12.75" customHeight="1" spans="1:30">
      <c r="A6" s="9">
        <v>5</v>
      </c>
      <c r="B6" s="9" t="s">
        <v>19</v>
      </c>
      <c r="C6" s="9" t="s">
        <v>20</v>
      </c>
      <c r="D6" s="9" t="s">
        <v>32</v>
      </c>
      <c r="E6" s="9" t="s">
        <v>33</v>
      </c>
      <c r="F6" s="9" t="s">
        <v>34</v>
      </c>
      <c r="G6" s="9" t="s">
        <v>16</v>
      </c>
      <c r="H6" s="20"/>
      <c r="I6" s="20" t="s">
        <v>17</v>
      </c>
      <c r="J6" s="21" t="s">
        <v>18</v>
      </c>
      <c r="K6" s="13" t="str">
        <f>_xlfn.XLOOKUP(D6,工作表2!A:A,工作表2!B:B)</f>
        <v>wrigAJEAAAouZAnW_S8Ep_O8DHKzadDA</v>
      </c>
      <c r="L6" s="13" t="s">
        <v>26</v>
      </c>
    </row>
    <row r="7" ht="12.75" customHeight="1" spans="1:30">
      <c r="A7" s="9">
        <v>6</v>
      </c>
      <c r="B7" s="9" t="s">
        <v>19</v>
      </c>
      <c r="C7" s="9" t="s">
        <v>20</v>
      </c>
      <c r="D7" s="9" t="s">
        <v>35</v>
      </c>
      <c r="E7" s="9" t="s">
        <v>36</v>
      </c>
      <c r="F7" s="9" t="s">
        <v>37</v>
      </c>
      <c r="G7" s="9" t="s">
        <v>16</v>
      </c>
      <c r="H7" s="20"/>
      <c r="I7" s="20" t="s">
        <v>17</v>
      </c>
      <c r="J7" s="21" t="s">
        <v>18</v>
      </c>
      <c r="K7" s="13" t="str">
        <f>_xlfn.XLOOKUP(D7,工作表2!A:A,工作表2!B:B)</f>
        <v>wrigAJEAAAVSKtIQLmQz6mPCgLHHiFFw</v>
      </c>
      <c r="L7" s="13" t="s">
        <v>26</v>
      </c>
    </row>
    <row r="8" ht="12.75" customHeight="1" spans="1:30">
      <c r="A8" s="9">
        <v>7</v>
      </c>
      <c r="B8" s="9" t="s">
        <v>19</v>
      </c>
      <c r="C8" s="9" t="s">
        <v>20</v>
      </c>
      <c r="D8" s="22" t="s">
        <v>38</v>
      </c>
      <c r="E8" s="9" t="s">
        <v>39</v>
      </c>
      <c r="F8" s="9" t="s">
        <v>40</v>
      </c>
      <c r="G8" s="9" t="s">
        <v>24</v>
      </c>
      <c r="H8" s="20"/>
      <c r="I8" s="20" t="s">
        <v>17</v>
      </c>
      <c r="J8" s="21" t="s">
        <v>25</v>
      </c>
      <c r="K8" s="13" t="str">
        <f>_xlfn.XLOOKUP(D8,工作表2!A:A,工作表2!B:B)</f>
        <v>wrigAJEAAAmwtbpxOuj9iCIeu2tq4vEA</v>
      </c>
      <c r="L8" s="13" t="s">
        <v>26</v>
      </c>
    </row>
    <row r="9" ht="12.75" customHeight="1" spans="1:30">
      <c r="A9" s="9">
        <v>8</v>
      </c>
      <c r="B9" s="9" t="s">
        <v>19</v>
      </c>
      <c r="C9" s="9" t="s">
        <v>20</v>
      </c>
      <c r="D9" s="22" t="s">
        <v>38</v>
      </c>
      <c r="E9" s="9" t="s">
        <v>41</v>
      </c>
      <c r="F9" s="9" t="s">
        <v>42</v>
      </c>
      <c r="G9" s="9" t="s">
        <v>24</v>
      </c>
      <c r="H9" s="20"/>
      <c r="I9" s="20" t="s">
        <v>17</v>
      </c>
      <c r="J9" s="21" t="s">
        <v>25</v>
      </c>
      <c r="K9" s="13" t="str">
        <f>_xlfn.XLOOKUP(D9,工作表2!A:A,工作表2!B:B)</f>
        <v>wrigAJEAAAmwtbpxOuj9iCIeu2tq4vEA</v>
      </c>
      <c r="L9" s="13" t="s">
        <v>26</v>
      </c>
    </row>
    <row r="10" ht="12.75" customHeight="1" spans="1:30">
      <c r="A10" s="9">
        <v>9</v>
      </c>
      <c r="B10" s="9" t="s">
        <v>19</v>
      </c>
      <c r="C10" s="9" t="s">
        <v>20</v>
      </c>
      <c r="D10" s="22" t="s">
        <v>38</v>
      </c>
      <c r="E10" s="9" t="s">
        <v>43</v>
      </c>
      <c r="F10" s="9" t="s">
        <v>44</v>
      </c>
      <c r="G10" s="9" t="s">
        <v>24</v>
      </c>
      <c r="H10" s="20"/>
      <c r="I10" s="20" t="s">
        <v>17</v>
      </c>
      <c r="J10" s="21" t="s">
        <v>25</v>
      </c>
      <c r="K10" s="13" t="str">
        <f>_xlfn.XLOOKUP(D10,工作表2!A:A,工作表2!B:B)</f>
        <v>wrigAJEAAAmwtbpxOuj9iCIeu2tq4vEA</v>
      </c>
      <c r="L10" s="13" t="s">
        <v>26</v>
      </c>
    </row>
    <row r="11" ht="12.75" customHeight="1" spans="1:30">
      <c r="A11" s="9">
        <v>10</v>
      </c>
      <c r="B11" s="9" t="s">
        <v>11</v>
      </c>
      <c r="C11" s="9" t="s">
        <v>12</v>
      </c>
      <c r="D11" s="9" t="s">
        <v>45</v>
      </c>
      <c r="E11" s="9" t="s">
        <v>46</v>
      </c>
      <c r="F11" s="9" t="s">
        <v>47</v>
      </c>
      <c r="G11" s="9" t="s">
        <v>16</v>
      </c>
      <c r="H11" s="20"/>
      <c r="I11" s="20" t="s">
        <v>17</v>
      </c>
      <c r="J11" s="21" t="s">
        <v>18</v>
      </c>
      <c r="K11" s="13" t="str">
        <f>_xlfn.XLOOKUP(D11,工作表2!A:A,工作表2!B:B)</f>
        <v>wrigAJEAAAFuEvg1ObWhcmy2q_M6Wq3g</v>
      </c>
    </row>
    <row r="12" ht="12.75" customHeight="1" spans="1:30">
      <c r="A12" s="9">
        <v>11</v>
      </c>
      <c r="B12" s="9" t="s">
        <v>11</v>
      </c>
      <c r="C12" s="9" t="s">
        <v>12</v>
      </c>
      <c r="D12" s="9" t="s">
        <v>48</v>
      </c>
      <c r="E12" s="9" t="s">
        <v>49</v>
      </c>
      <c r="F12" s="9" t="s">
        <v>50</v>
      </c>
      <c r="G12" s="9" t="s">
        <v>16</v>
      </c>
      <c r="H12" s="20"/>
      <c r="I12" s="20" t="s">
        <v>17</v>
      </c>
      <c r="J12" s="21" t="s">
        <v>18</v>
      </c>
      <c r="K12" s="13" t="str">
        <f>_xlfn.XLOOKUP(D12,工作表2!A:A,工作表2!B:B)</f>
        <v>wrigAJEAAATmrWPjznHCmzprmkomUE6Q</v>
      </c>
    </row>
    <row r="13" ht="12.75" customHeight="1" spans="1:30">
      <c r="A13" s="9">
        <v>12</v>
      </c>
      <c r="B13" s="9" t="s">
        <v>11</v>
      </c>
      <c r="C13" s="9" t="s">
        <v>12</v>
      </c>
      <c r="D13" s="9" t="s">
        <v>51</v>
      </c>
      <c r="E13" s="9" t="s">
        <v>52</v>
      </c>
      <c r="F13" s="9" t="s">
        <v>53</v>
      </c>
      <c r="G13" s="9"/>
      <c r="H13" s="20"/>
      <c r="I13" s="20" t="s">
        <v>17</v>
      </c>
      <c r="J13" s="21" t="s">
        <v>18</v>
      </c>
      <c r="K13" s="13" t="str">
        <f>_xlfn.XLOOKUP(D13,工作表2!A:A,工作表2!B:B)</f>
        <v>wrigAJEAAA36ZXYMgR51AmStwcCel6qA</v>
      </c>
    </row>
    <row r="14" ht="12.75" customHeight="1" spans="1:30">
      <c r="A14" s="9">
        <v>13</v>
      </c>
      <c r="B14" s="9" t="s">
        <v>54</v>
      </c>
      <c r="C14" s="9" t="s">
        <v>55</v>
      </c>
      <c r="D14" s="9" t="s">
        <v>56</v>
      </c>
      <c r="E14" s="9" t="s">
        <v>57</v>
      </c>
      <c r="F14" s="9" t="s">
        <v>58</v>
      </c>
      <c r="G14" s="9" t="s">
        <v>16</v>
      </c>
      <c r="H14" s="20"/>
      <c r="I14" s="20" t="s">
        <v>17</v>
      </c>
      <c r="J14" s="21" t="s">
        <v>18</v>
      </c>
      <c r="K14" s="13" t="str">
        <f>_xlfn.XLOOKUP(D14,工作表2!A:A,工作表2!B:B)</f>
        <v>wrigAJEAAAXnRYN0xEAjkHJNDM7rVfyA</v>
      </c>
    </row>
    <row r="15" ht="12.75" customHeight="1" spans="1:30">
      <c r="A15" s="9">
        <v>14</v>
      </c>
      <c r="B15" s="9" t="s">
        <v>54</v>
      </c>
      <c r="C15" s="9" t="s">
        <v>55</v>
      </c>
      <c r="D15" s="9" t="s">
        <v>59</v>
      </c>
      <c r="E15" s="9" t="s">
        <v>60</v>
      </c>
      <c r="F15" s="9" t="s">
        <v>61</v>
      </c>
      <c r="G15" s="9" t="s">
        <v>16</v>
      </c>
      <c r="H15" s="20"/>
      <c r="I15" s="20" t="s">
        <v>17</v>
      </c>
      <c r="J15" s="21" t="s">
        <v>18</v>
      </c>
      <c r="K15" s="13" t="str">
        <f>_xlfn.XLOOKUP(D15,工作表2!A:A,工作表2!B:B)</f>
        <v>wrigAJEAAA0lzFlH6VPwiKciUNqEMvOA</v>
      </c>
    </row>
    <row r="16" ht="12.75" customHeight="1" spans="1:30">
      <c r="A16" s="9">
        <v>15</v>
      </c>
      <c r="B16" s="9" t="s">
        <v>54</v>
      </c>
      <c r="C16" s="9" t="s">
        <v>62</v>
      </c>
      <c r="D16" s="22" t="s">
        <v>63</v>
      </c>
      <c r="E16" s="9" t="s">
        <v>64</v>
      </c>
      <c r="F16" s="9" t="s">
        <v>65</v>
      </c>
      <c r="G16" s="9" t="s">
        <v>24</v>
      </c>
      <c r="H16" s="20"/>
      <c r="I16" s="20" t="s">
        <v>17</v>
      </c>
      <c r="J16" s="21" t="s">
        <v>25</v>
      </c>
      <c r="K16" s="13" t="str">
        <f>_xlfn.XLOOKUP(D16,工作表2!A:A,工作表2!B:B)</f>
        <v>wrigAJEAAAEtJGi9pK0AJyh92DOGwpJw</v>
      </c>
    </row>
    <row r="17" ht="12.75" customHeight="1" spans="1:11">
      <c r="A17" s="9">
        <v>16</v>
      </c>
      <c r="B17" s="9" t="s">
        <v>54</v>
      </c>
      <c r="C17" s="9" t="s">
        <v>62</v>
      </c>
      <c r="D17" s="22" t="s">
        <v>63</v>
      </c>
      <c r="E17" s="9" t="s">
        <v>66</v>
      </c>
      <c r="F17" s="9" t="s">
        <v>67</v>
      </c>
      <c r="G17" s="9" t="s">
        <v>24</v>
      </c>
      <c r="H17" s="20"/>
      <c r="I17" s="20" t="s">
        <v>17</v>
      </c>
      <c r="J17" s="21" t="s">
        <v>25</v>
      </c>
      <c r="K17" s="13" t="str">
        <f>_xlfn.XLOOKUP(D17,工作表2!A:A,工作表2!B:B)</f>
        <v>wrigAJEAAAEtJGi9pK0AJyh92DOGwpJw</v>
      </c>
    </row>
    <row r="18" ht="12.75" customHeight="1" spans="1:11">
      <c r="A18" s="9">
        <v>17</v>
      </c>
      <c r="B18" s="9" t="s">
        <v>54</v>
      </c>
      <c r="C18" s="9" t="s">
        <v>62</v>
      </c>
      <c r="D18" s="22" t="s">
        <v>63</v>
      </c>
      <c r="E18" s="9" t="s">
        <v>68</v>
      </c>
      <c r="F18" s="9" t="s">
        <v>69</v>
      </c>
      <c r="G18" s="9" t="s">
        <v>24</v>
      </c>
      <c r="H18" s="20"/>
      <c r="I18" s="20" t="s">
        <v>17</v>
      </c>
      <c r="J18" s="21" t="s">
        <v>25</v>
      </c>
      <c r="K18" s="13" t="str">
        <f>_xlfn.XLOOKUP(D18,工作表2!A:A,工作表2!B:B)</f>
        <v>wrigAJEAAAEtJGi9pK0AJyh92DOGwpJw</v>
      </c>
    </row>
    <row r="19" ht="12.75" customHeight="1" spans="1:11">
      <c r="A19" s="9">
        <v>18</v>
      </c>
      <c r="B19" s="9" t="s">
        <v>54</v>
      </c>
      <c r="C19" s="9" t="s">
        <v>62</v>
      </c>
      <c r="D19" s="22" t="s">
        <v>63</v>
      </c>
      <c r="E19" s="9" t="s">
        <v>70</v>
      </c>
      <c r="F19" s="9" t="s">
        <v>71</v>
      </c>
      <c r="G19" s="9" t="s">
        <v>24</v>
      </c>
      <c r="H19" s="20"/>
      <c r="I19" s="20" t="s">
        <v>17</v>
      </c>
      <c r="J19" s="21" t="s">
        <v>25</v>
      </c>
      <c r="K19" s="13" t="str">
        <f>_xlfn.XLOOKUP(D19,工作表2!A:A,工作表2!B:B)</f>
        <v>wrigAJEAAAEtJGi9pK0AJyh92DOGwpJw</v>
      </c>
    </row>
    <row r="20" ht="12.75" customHeight="1" spans="1:11">
      <c r="A20" s="9">
        <v>19</v>
      </c>
      <c r="B20" s="9" t="s">
        <v>54</v>
      </c>
      <c r="C20" s="9" t="s">
        <v>62</v>
      </c>
      <c r="D20" s="22" t="s">
        <v>63</v>
      </c>
      <c r="E20" s="9" t="s">
        <v>72</v>
      </c>
      <c r="F20" s="9" t="s">
        <v>73</v>
      </c>
      <c r="G20" s="9" t="s">
        <v>24</v>
      </c>
      <c r="H20" s="20"/>
      <c r="I20" s="20" t="s">
        <v>17</v>
      </c>
      <c r="J20" s="21" t="s">
        <v>25</v>
      </c>
      <c r="K20" s="13" t="str">
        <f>_xlfn.XLOOKUP(D20,工作表2!A:A,工作表2!B:B)</f>
        <v>wrigAJEAAAEtJGi9pK0AJyh92DOGwpJw</v>
      </c>
    </row>
    <row r="21" ht="12.75" customHeight="1" spans="1:11">
      <c r="A21" s="9">
        <v>20</v>
      </c>
      <c r="B21" s="9" t="s">
        <v>54</v>
      </c>
      <c r="C21" s="9" t="s">
        <v>62</v>
      </c>
      <c r="D21" s="22" t="s">
        <v>63</v>
      </c>
      <c r="E21" s="9" t="s">
        <v>74</v>
      </c>
      <c r="F21" s="9" t="s">
        <v>75</v>
      </c>
      <c r="G21" s="9" t="s">
        <v>24</v>
      </c>
      <c r="H21" s="20"/>
      <c r="I21" s="20" t="s">
        <v>17</v>
      </c>
      <c r="J21" s="21" t="s">
        <v>25</v>
      </c>
      <c r="K21" s="13" t="str">
        <f>_xlfn.XLOOKUP(D21,工作表2!A:A,工作表2!B:B)</f>
        <v>wrigAJEAAAEtJGi9pK0AJyh92DOGwpJw</v>
      </c>
    </row>
    <row r="22" ht="12.75" customHeight="1" spans="1:11">
      <c r="A22" s="9">
        <v>21</v>
      </c>
      <c r="B22" s="9" t="s">
        <v>54</v>
      </c>
      <c r="C22" s="9" t="s">
        <v>62</v>
      </c>
      <c r="D22" s="22" t="s">
        <v>63</v>
      </c>
      <c r="E22" s="9" t="s">
        <v>76</v>
      </c>
      <c r="F22" s="9" t="s">
        <v>77</v>
      </c>
      <c r="G22" s="9" t="s">
        <v>24</v>
      </c>
      <c r="H22" s="20"/>
      <c r="I22" s="20" t="s">
        <v>17</v>
      </c>
      <c r="J22" s="21" t="s">
        <v>25</v>
      </c>
      <c r="K22" s="13" t="str">
        <f>_xlfn.XLOOKUP(D22,工作表2!A:A,工作表2!B:B)</f>
        <v>wrigAJEAAAEtJGi9pK0AJyh92DOGwpJw</v>
      </c>
    </row>
    <row r="23" ht="12.75" customHeight="1" spans="1:11">
      <c r="A23" s="9">
        <v>22</v>
      </c>
      <c r="B23" s="9" t="s">
        <v>54</v>
      </c>
      <c r="C23" s="9" t="s">
        <v>62</v>
      </c>
      <c r="D23" s="9" t="s">
        <v>78</v>
      </c>
      <c r="E23" s="9" t="s">
        <v>79</v>
      </c>
      <c r="F23" s="9" t="s">
        <v>80</v>
      </c>
      <c r="G23" s="9"/>
      <c r="H23" s="20"/>
      <c r="I23" s="20" t="s">
        <v>17</v>
      </c>
      <c r="J23" s="21" t="s">
        <v>18</v>
      </c>
      <c r="K23" s="13" t="str">
        <f>_xlfn.XLOOKUP(D23,工作表2!A:A,工作表2!B:B)</f>
        <v>wrigAJEAAA7Bel4G031c11PoW0PB74vA</v>
      </c>
    </row>
    <row r="24" ht="12.75" customHeight="1" spans="1:11">
      <c r="A24" s="9">
        <v>23</v>
      </c>
      <c r="B24" s="9" t="s">
        <v>81</v>
      </c>
      <c r="C24" s="9" t="s">
        <v>82</v>
      </c>
      <c r="D24" s="9" t="s">
        <v>83</v>
      </c>
      <c r="E24" s="9" t="s">
        <v>84</v>
      </c>
      <c r="F24" s="9" t="s">
        <v>85</v>
      </c>
      <c r="G24" s="9"/>
      <c r="H24" s="20"/>
      <c r="I24" s="20" t="s">
        <v>17</v>
      </c>
      <c r="J24" s="21" t="s">
        <v>18</v>
      </c>
      <c r="K24" s="13" t="str">
        <f>_xlfn.XLOOKUP(D24,工作表2!A:A,工作表2!B:B)</f>
        <v>wrigAJEAAAc-MieOJ_VVE-NKzT2BQkzA</v>
      </c>
    </row>
    <row r="25" ht="12.75" customHeight="1" spans="1:11">
      <c r="A25" s="9">
        <v>24</v>
      </c>
      <c r="B25" s="9" t="s">
        <v>54</v>
      </c>
      <c r="C25" s="9" t="s">
        <v>62</v>
      </c>
      <c r="D25" s="23" t="s">
        <v>86</v>
      </c>
      <c r="E25" s="24" t="s">
        <v>87</v>
      </c>
      <c r="F25" s="25" t="s">
        <v>88</v>
      </c>
      <c r="G25" s="9"/>
      <c r="H25" s="20"/>
      <c r="I25" s="20" t="s">
        <v>17</v>
      </c>
      <c r="J25" s="21" t="s">
        <v>18</v>
      </c>
      <c r="K25" s="13" t="str">
        <f>_xlfn.XLOOKUP(D25,工作表2!A:A,工作表2!B:B)</f>
        <v>wrigAJEAAA66nO815fxLSbJbm4scVnag</v>
      </c>
    </row>
    <row r="26" ht="12.75" customHeight="1" spans="1:11">
      <c r="A26" s="9">
        <v>25</v>
      </c>
      <c r="B26" s="9" t="s">
        <v>89</v>
      </c>
      <c r="C26" s="9" t="s">
        <v>90</v>
      </c>
      <c r="D26" s="9" t="s">
        <v>91</v>
      </c>
      <c r="E26" s="9" t="s">
        <v>92</v>
      </c>
      <c r="F26" s="9" t="s">
        <v>93</v>
      </c>
      <c r="G26" s="9"/>
      <c r="H26" s="20"/>
      <c r="I26" s="20" t="s">
        <v>17</v>
      </c>
      <c r="J26" s="21" t="s">
        <v>18</v>
      </c>
      <c r="K26" s="13" t="str">
        <f>_xlfn.XLOOKUP(D26,工作表2!A:A,工作表2!B:B)</f>
        <v>wrigAJEAAAEl6xt3_cT0cKx6HseW4h7A</v>
      </c>
    </row>
    <row r="27" ht="12.75" customHeight="1" spans="1:11">
      <c r="A27" s="9">
        <v>26</v>
      </c>
      <c r="B27" s="9" t="s">
        <v>89</v>
      </c>
      <c r="C27" s="9" t="s">
        <v>90</v>
      </c>
      <c r="D27" s="9" t="s">
        <v>94</v>
      </c>
      <c r="E27" s="9" t="s">
        <v>95</v>
      </c>
      <c r="F27" s="9" t="s">
        <v>96</v>
      </c>
      <c r="G27" s="9"/>
      <c r="H27" s="20"/>
      <c r="I27" s="20" t="s">
        <v>17</v>
      </c>
      <c r="J27" s="21" t="s">
        <v>18</v>
      </c>
      <c r="K27" s="13" t="str">
        <f>_xlfn.XLOOKUP(D27,工作表2!A:A,工作表2!B:B)</f>
        <v>wrigAJEAAANkW08gwjVjZwD8vXc8PG4A</v>
      </c>
    </row>
    <row r="28" ht="12.75" customHeight="1" spans="1:11">
      <c r="A28" s="9">
        <v>27</v>
      </c>
      <c r="B28" s="9" t="s">
        <v>89</v>
      </c>
      <c r="C28" s="9" t="s">
        <v>90</v>
      </c>
      <c r="D28" s="22" t="s">
        <v>97</v>
      </c>
      <c r="E28" s="26" t="s">
        <v>98</v>
      </c>
      <c r="F28" s="9" t="s">
        <v>99</v>
      </c>
      <c r="G28" s="9" t="s">
        <v>24</v>
      </c>
      <c r="H28" s="20"/>
      <c r="I28" s="20" t="s">
        <v>17</v>
      </c>
      <c r="J28" s="21" t="s">
        <v>25</v>
      </c>
      <c r="K28" s="13" t="str">
        <f>_xlfn.XLOOKUP(D28,工作表2!A:A,工作表2!B:B)</f>
        <v>wrigAJEAAAOsnYFLLKWTfHUQlX-GQ87A</v>
      </c>
    </row>
    <row r="29" ht="12.75" customHeight="1" spans="1:11">
      <c r="A29" s="9">
        <v>28</v>
      </c>
      <c r="B29" s="9" t="s">
        <v>89</v>
      </c>
      <c r="C29" s="9" t="s">
        <v>90</v>
      </c>
      <c r="D29" s="22" t="s">
        <v>97</v>
      </c>
      <c r="E29" s="9" t="s">
        <v>100</v>
      </c>
      <c r="F29" s="9" t="s">
        <v>101</v>
      </c>
      <c r="G29" s="9" t="s">
        <v>24</v>
      </c>
      <c r="H29" s="20"/>
      <c r="I29" s="20" t="s">
        <v>17</v>
      </c>
      <c r="J29" s="21" t="s">
        <v>25</v>
      </c>
      <c r="K29" s="13" t="str">
        <f>_xlfn.XLOOKUP(D29,工作表2!A:A,工作表2!B:B)</f>
        <v>wrigAJEAAAOsnYFLLKWTfHUQlX-GQ87A</v>
      </c>
    </row>
    <row r="30" ht="12.75" customHeight="1" spans="1:11">
      <c r="A30" s="9">
        <v>29</v>
      </c>
      <c r="B30" s="9" t="s">
        <v>89</v>
      </c>
      <c r="C30" s="9" t="s">
        <v>90</v>
      </c>
      <c r="D30" s="9" t="s">
        <v>102</v>
      </c>
      <c r="E30" s="9" t="s">
        <v>103</v>
      </c>
      <c r="F30" s="9" t="s">
        <v>104</v>
      </c>
      <c r="G30" s="9"/>
      <c r="H30" s="20"/>
      <c r="I30" s="20" t="s">
        <v>17</v>
      </c>
      <c r="J30" s="21" t="s">
        <v>18</v>
      </c>
      <c r="K30" s="13" t="str">
        <f>_xlfn.XLOOKUP(D30,工作表2!A:A,工作表2!B:B)</f>
        <v>wrigAJEAAAUhuJIfux6yVlBNcOdM4H8Q</v>
      </c>
    </row>
    <row r="31" ht="12.75" customHeight="1" spans="1:11">
      <c r="A31" s="9">
        <v>30</v>
      </c>
      <c r="B31" s="9" t="s">
        <v>54</v>
      </c>
      <c r="C31" s="9" t="s">
        <v>55</v>
      </c>
      <c r="D31" s="9" t="s">
        <v>105</v>
      </c>
      <c r="E31" s="9" t="s">
        <v>106</v>
      </c>
      <c r="F31" s="9" t="s">
        <v>107</v>
      </c>
      <c r="G31" s="9"/>
      <c r="H31" s="20"/>
      <c r="I31" s="20" t="s">
        <v>17</v>
      </c>
      <c r="J31" s="21" t="s">
        <v>18</v>
      </c>
      <c r="K31" s="13" t="str">
        <f>_xlfn.XLOOKUP(D31,工作表2!A:A,工作表2!B:B)</f>
        <v>wrigAJEAAA3lK3LTgBjR95c3CgOYxl6w</v>
      </c>
    </row>
    <row r="32" ht="12.75" customHeight="1" spans="1:11">
      <c r="A32" s="9">
        <v>31</v>
      </c>
      <c r="B32" s="9" t="s">
        <v>54</v>
      </c>
      <c r="C32" s="9" t="s">
        <v>55</v>
      </c>
      <c r="D32" s="9" t="s">
        <v>108</v>
      </c>
      <c r="E32" s="9" t="s">
        <v>109</v>
      </c>
      <c r="F32" s="9" t="s">
        <v>110</v>
      </c>
      <c r="G32" s="9"/>
      <c r="H32" s="20"/>
      <c r="I32" s="20" t="s">
        <v>111</v>
      </c>
      <c r="J32" s="21" t="s">
        <v>25</v>
      </c>
      <c r="K32" s="13" t="str">
        <f>_xlfn.XLOOKUP(D32,工作表2!A:A,工作表2!B:B)</f>
        <v>wrigAJEAAARXlFY1n6xfQtUF7kIjuuYw</v>
      </c>
    </row>
    <row r="33" ht="12.75" customHeight="1" spans="1:11">
      <c r="A33" s="9">
        <v>32</v>
      </c>
      <c r="B33" s="9" t="s">
        <v>112</v>
      </c>
      <c r="C33" s="9" t="s">
        <v>113</v>
      </c>
      <c r="D33" s="9" t="s">
        <v>114</v>
      </c>
      <c r="E33" s="9" t="s">
        <v>115</v>
      </c>
      <c r="F33" s="9" t="s">
        <v>116</v>
      </c>
      <c r="G33" s="9"/>
      <c r="H33" s="20"/>
      <c r="I33" s="20" t="s">
        <v>111</v>
      </c>
      <c r="J33" s="21" t="s">
        <v>25</v>
      </c>
      <c r="K33" s="13" t="str">
        <f>_xlfn.XLOOKUP(D33,工作表2!A:A,工作表2!B:B)</f>
        <v>wrigAJEAAAZERO5PQcgQVEzdkR-PB48w</v>
      </c>
    </row>
    <row r="34" ht="12.75" customHeight="1" spans="1:11">
      <c r="A34" s="9">
        <v>33</v>
      </c>
      <c r="B34" s="9" t="s">
        <v>112</v>
      </c>
      <c r="C34" s="9" t="s">
        <v>113</v>
      </c>
      <c r="D34" s="9" t="s">
        <v>117</v>
      </c>
      <c r="E34" s="9" t="s">
        <v>118</v>
      </c>
      <c r="F34" s="9" t="s">
        <v>119</v>
      </c>
      <c r="G34" s="9"/>
      <c r="H34" s="20"/>
      <c r="I34" s="20" t="s">
        <v>111</v>
      </c>
      <c r="J34" s="21" t="s">
        <v>25</v>
      </c>
      <c r="K34" s="13" t="str">
        <f>_xlfn.XLOOKUP(D34,工作表2!A:A,工作表2!B:B)</f>
        <v>wrigAJEAAAmaq9djC2cm72Ykvxcdi56w</v>
      </c>
    </row>
    <row r="35" ht="12.75" customHeight="1" spans="1:11">
      <c r="A35" s="9">
        <v>34</v>
      </c>
      <c r="B35" s="9" t="s">
        <v>112</v>
      </c>
      <c r="C35" s="9" t="s">
        <v>113</v>
      </c>
      <c r="D35" s="9" t="s">
        <v>120</v>
      </c>
      <c r="E35" s="9" t="s">
        <v>121</v>
      </c>
      <c r="F35" s="9" t="s">
        <v>122</v>
      </c>
      <c r="G35" s="9"/>
      <c r="H35" s="20"/>
      <c r="I35" s="20" t="s">
        <v>111</v>
      </c>
      <c r="J35" s="21" t="s">
        <v>25</v>
      </c>
      <c r="K35" s="13" t="str">
        <f>_xlfn.XLOOKUP(D35,工作表2!A:A,工作表2!B:B)</f>
        <v>wrigAJEAAAIaOcKnHS_n8Sng7o0i8lAg</v>
      </c>
    </row>
    <row r="36" ht="12.75" customHeight="1" spans="1:11">
      <c r="A36" s="9">
        <v>35</v>
      </c>
      <c r="B36" s="9" t="s">
        <v>89</v>
      </c>
      <c r="C36" s="9" t="s">
        <v>123</v>
      </c>
      <c r="D36" s="9" t="s">
        <v>124</v>
      </c>
      <c r="E36" s="9" t="s">
        <v>125</v>
      </c>
      <c r="F36" s="9" t="s">
        <v>126</v>
      </c>
      <c r="G36" s="9"/>
      <c r="H36" s="20"/>
      <c r="I36" s="20" t="s">
        <v>111</v>
      </c>
      <c r="J36" s="21" t="s">
        <v>25</v>
      </c>
      <c r="K36" s="13" t="str">
        <f>_xlfn.XLOOKUP(D36,工作表2!A:A,工作表2!B:B)</f>
        <v>wrigAJEAAAu9_6Tqyhvzj7YB6Oth-gzw</v>
      </c>
    </row>
    <row r="37" ht="12.75" customHeight="1" spans="1:11">
      <c r="A37" s="9">
        <v>36</v>
      </c>
      <c r="B37" s="9" t="s">
        <v>81</v>
      </c>
      <c r="C37" s="9" t="s">
        <v>82</v>
      </c>
      <c r="D37" s="9" t="s">
        <v>127</v>
      </c>
      <c r="E37" s="24" t="s">
        <v>128</v>
      </c>
      <c r="F37" s="9" t="s">
        <v>129</v>
      </c>
      <c r="G37" s="9"/>
      <c r="H37" s="20"/>
      <c r="I37" s="20" t="s">
        <v>111</v>
      </c>
      <c r="J37" s="21" t="s">
        <v>25</v>
      </c>
      <c r="K37" s="13" t="str">
        <f>_xlfn.XLOOKUP(D37,工作表2!A:A,工作表2!B:B)</f>
        <v>wrigAJEAAAiUPBtOh1yVfxk2uT_l9RLA</v>
      </c>
    </row>
    <row r="38" ht="12.75" customHeight="1" spans="1:11">
      <c r="A38" s="9">
        <v>37</v>
      </c>
      <c r="B38" s="9" t="s">
        <v>54</v>
      </c>
      <c r="C38" s="27" t="s">
        <v>55</v>
      </c>
      <c r="D38" s="28" t="s">
        <v>130</v>
      </c>
      <c r="E38" s="27" t="s">
        <v>131</v>
      </c>
      <c r="F38" s="27" t="s">
        <v>132</v>
      </c>
      <c r="G38" s="27" t="s">
        <v>133</v>
      </c>
      <c r="H38" s="20"/>
      <c r="I38" s="20" t="s">
        <v>111</v>
      </c>
      <c r="J38" s="21" t="s">
        <v>25</v>
      </c>
      <c r="K38" s="13" t="str">
        <f>_xlfn.XLOOKUP(D38,工作表2!A:A,工作表2!B:B)</f>
        <v>wrigAJEAAAvHVJBdRndOQSaF8EVW1Bjg</v>
      </c>
    </row>
    <row r="39" ht="12.75" customHeight="1" spans="1:11">
      <c r="A39" s="9">
        <v>38</v>
      </c>
      <c r="B39" s="9" t="s">
        <v>54</v>
      </c>
      <c r="C39" s="27" t="s">
        <v>55</v>
      </c>
      <c r="D39" s="28" t="s">
        <v>130</v>
      </c>
      <c r="E39" s="27" t="s">
        <v>134</v>
      </c>
      <c r="F39" s="27" t="s">
        <v>135</v>
      </c>
      <c r="G39" s="27" t="s">
        <v>133</v>
      </c>
      <c r="H39" s="20"/>
      <c r="I39" s="20" t="s">
        <v>111</v>
      </c>
      <c r="J39" s="21" t="s">
        <v>25</v>
      </c>
      <c r="K39" s="13" t="str">
        <f>_xlfn.XLOOKUP(D39,工作表2!A:A,工作表2!B:B)</f>
        <v>wrigAJEAAAvHVJBdRndOQSaF8EVW1Bjg</v>
      </c>
    </row>
    <row r="40" ht="12.75" customHeight="1" spans="1:11">
      <c r="A40" s="9">
        <v>39</v>
      </c>
      <c r="B40" s="9" t="s">
        <v>54</v>
      </c>
      <c r="C40" s="9" t="s">
        <v>55</v>
      </c>
      <c r="D40" s="9" t="s">
        <v>136</v>
      </c>
      <c r="E40" s="9" t="s">
        <v>137</v>
      </c>
      <c r="F40" s="9" t="s">
        <v>138</v>
      </c>
      <c r="G40" s="9"/>
      <c r="H40" s="20"/>
      <c r="I40" s="20" t="s">
        <v>111</v>
      </c>
      <c r="J40" s="21" t="s">
        <v>25</v>
      </c>
      <c r="K40" s="13" t="str">
        <f>_xlfn.XLOOKUP(D40,工作表2!A:A,工作表2!B:B)</f>
        <v>wrigAJEAAA2ea5gJKgJ4UGI7MMANkOCw</v>
      </c>
    </row>
    <row r="41" ht="12.75" customHeight="1" spans="1:11">
      <c r="A41" s="9">
        <v>40</v>
      </c>
      <c r="B41" s="9" t="s">
        <v>54</v>
      </c>
      <c r="C41" s="9" t="s">
        <v>55</v>
      </c>
      <c r="D41" s="9" t="s">
        <v>139</v>
      </c>
      <c r="E41" s="9" t="s">
        <v>140</v>
      </c>
      <c r="F41" s="9" t="s">
        <v>141</v>
      </c>
      <c r="G41" s="9"/>
      <c r="H41" s="20"/>
      <c r="I41" s="20" t="s">
        <v>111</v>
      </c>
      <c r="J41" s="21" t="s">
        <v>25</v>
      </c>
      <c r="K41" s="13" t="str">
        <f>_xlfn.XLOOKUP(D41,工作表2!A:A,工作表2!B:B)</f>
        <v>wrigAJEAAAX8i63ZrZ4HpWxkjIPX8sCQ</v>
      </c>
    </row>
    <row r="42" ht="12.75" customHeight="1" spans="1:11">
      <c r="A42" s="9">
        <v>41</v>
      </c>
      <c r="B42" s="9" t="s">
        <v>142</v>
      </c>
      <c r="C42" s="9" t="s">
        <v>143</v>
      </c>
      <c r="D42" s="22" t="s">
        <v>144</v>
      </c>
      <c r="E42" s="9" t="s">
        <v>145</v>
      </c>
      <c r="F42" s="9" t="s">
        <v>146</v>
      </c>
      <c r="G42" s="9" t="s">
        <v>24</v>
      </c>
      <c r="H42" s="20"/>
      <c r="I42" s="20" t="s">
        <v>25</v>
      </c>
      <c r="J42" s="21" t="s">
        <v>25</v>
      </c>
      <c r="K42" s="13" t="str">
        <f>_xlfn.XLOOKUP(D42,工作表2!A:A,工作表2!B:B)</f>
        <v>wrigAJEAAABNOMMpx7Myp5c-W_btv9CA</v>
      </c>
    </row>
    <row r="43" ht="12.75" customHeight="1" spans="1:11">
      <c r="A43" s="9">
        <v>42</v>
      </c>
      <c r="B43" s="9" t="s">
        <v>142</v>
      </c>
      <c r="C43" s="9" t="s">
        <v>143</v>
      </c>
      <c r="D43" s="22" t="s">
        <v>144</v>
      </c>
      <c r="E43" s="9" t="s">
        <v>147</v>
      </c>
      <c r="F43" s="9" t="s">
        <v>148</v>
      </c>
      <c r="G43" s="9" t="s">
        <v>24</v>
      </c>
      <c r="H43" s="20"/>
      <c r="I43" s="20" t="s">
        <v>25</v>
      </c>
      <c r="J43" s="21" t="s">
        <v>25</v>
      </c>
      <c r="K43" s="13" t="str">
        <f>_xlfn.XLOOKUP(D43,工作表2!A:A,工作表2!B:B)</f>
        <v>wrigAJEAAABNOMMpx7Myp5c-W_btv9CA</v>
      </c>
    </row>
    <row r="44" ht="12.75" customHeight="1" spans="1:11">
      <c r="A44" s="9">
        <v>43</v>
      </c>
      <c r="B44" s="9" t="s">
        <v>142</v>
      </c>
      <c r="C44" s="9" t="s">
        <v>143</v>
      </c>
      <c r="D44" s="22" t="s">
        <v>144</v>
      </c>
      <c r="E44" s="9" t="s">
        <v>149</v>
      </c>
      <c r="F44" s="9" t="s">
        <v>150</v>
      </c>
      <c r="G44" s="9" t="s">
        <v>24</v>
      </c>
      <c r="H44" s="20"/>
      <c r="I44" s="20" t="s">
        <v>25</v>
      </c>
      <c r="J44" s="21" t="s">
        <v>25</v>
      </c>
      <c r="K44" s="13" t="str">
        <f>_xlfn.XLOOKUP(D44,工作表2!A:A,工作表2!B:B)</f>
        <v>wrigAJEAAABNOMMpx7Myp5c-W_btv9CA</v>
      </c>
    </row>
    <row r="45" ht="12.75" customHeight="1" spans="1:11">
      <c r="A45" s="9">
        <v>44</v>
      </c>
      <c r="B45" s="9" t="s">
        <v>142</v>
      </c>
      <c r="C45" s="9" t="s">
        <v>143</v>
      </c>
      <c r="D45" s="22" t="s">
        <v>144</v>
      </c>
      <c r="E45" s="9" t="s">
        <v>151</v>
      </c>
      <c r="F45" s="9" t="s">
        <v>152</v>
      </c>
      <c r="G45" s="9" t="s">
        <v>24</v>
      </c>
      <c r="H45" s="20"/>
      <c r="I45" s="20" t="s">
        <v>25</v>
      </c>
      <c r="J45" s="21" t="s">
        <v>25</v>
      </c>
      <c r="K45" s="13" t="str">
        <f>_xlfn.XLOOKUP(D45,工作表2!A:A,工作表2!B:B)</f>
        <v>wrigAJEAAABNOMMpx7Myp5c-W_btv9CA</v>
      </c>
    </row>
    <row r="46" ht="12.75" customHeight="1" spans="1:11">
      <c r="A46" s="9">
        <v>45</v>
      </c>
      <c r="B46" s="9" t="s">
        <v>142</v>
      </c>
      <c r="C46" s="9" t="s">
        <v>143</v>
      </c>
      <c r="D46" s="22" t="s">
        <v>144</v>
      </c>
      <c r="E46" s="9" t="s">
        <v>153</v>
      </c>
      <c r="F46" s="9" t="s">
        <v>154</v>
      </c>
      <c r="G46" s="9" t="s">
        <v>24</v>
      </c>
      <c r="H46" s="20"/>
      <c r="I46" s="20" t="s">
        <v>25</v>
      </c>
      <c r="J46" s="21" t="s">
        <v>25</v>
      </c>
      <c r="K46" s="13" t="str">
        <f>_xlfn.XLOOKUP(D46,工作表2!A:A,工作表2!B:B)</f>
        <v>wrigAJEAAABNOMMpx7Myp5c-W_btv9CA</v>
      </c>
    </row>
    <row r="47" ht="12.75" customHeight="1" spans="1:11">
      <c r="A47" s="9">
        <v>46</v>
      </c>
      <c r="B47" s="9" t="s">
        <v>142</v>
      </c>
      <c r="C47" s="9" t="s">
        <v>143</v>
      </c>
      <c r="D47" s="22" t="s">
        <v>144</v>
      </c>
      <c r="E47" s="9" t="s">
        <v>155</v>
      </c>
      <c r="F47" s="9" t="s">
        <v>156</v>
      </c>
      <c r="G47" s="9" t="s">
        <v>24</v>
      </c>
      <c r="H47" s="20"/>
      <c r="I47" s="20" t="s">
        <v>25</v>
      </c>
      <c r="J47" s="21" t="s">
        <v>25</v>
      </c>
      <c r="K47" s="13" t="str">
        <f>_xlfn.XLOOKUP(D47,工作表2!A:A,工作表2!B:B)</f>
        <v>wrigAJEAAABNOMMpx7Myp5c-W_btv9CA</v>
      </c>
    </row>
    <row r="48" ht="12.75" customHeight="1" spans="1:11">
      <c r="A48" s="9">
        <v>47</v>
      </c>
      <c r="B48" s="9" t="s">
        <v>142</v>
      </c>
      <c r="C48" s="9" t="s">
        <v>143</v>
      </c>
      <c r="D48" s="22" t="s">
        <v>144</v>
      </c>
      <c r="E48" s="9" t="s">
        <v>157</v>
      </c>
      <c r="F48" s="9" t="s">
        <v>158</v>
      </c>
      <c r="G48" s="9" t="s">
        <v>24</v>
      </c>
      <c r="H48" s="20"/>
      <c r="I48" s="20" t="s">
        <v>25</v>
      </c>
      <c r="J48" s="21" t="s">
        <v>25</v>
      </c>
      <c r="K48" s="13" t="str">
        <f>_xlfn.XLOOKUP(D48,工作表2!A:A,工作表2!B:B)</f>
        <v>wrigAJEAAABNOMMpx7Myp5c-W_btv9CA</v>
      </c>
    </row>
    <row r="49" ht="12.75" customHeight="1" spans="1:11">
      <c r="A49" s="9">
        <v>48</v>
      </c>
      <c r="B49" s="9" t="s">
        <v>142</v>
      </c>
      <c r="C49" s="9" t="s">
        <v>143</v>
      </c>
      <c r="D49" s="22" t="s">
        <v>144</v>
      </c>
      <c r="E49" s="9" t="s">
        <v>159</v>
      </c>
      <c r="F49" s="9" t="s">
        <v>160</v>
      </c>
      <c r="G49" s="9" t="s">
        <v>24</v>
      </c>
      <c r="H49" s="20"/>
      <c r="I49" s="20" t="s">
        <v>25</v>
      </c>
      <c r="J49" s="21" t="s">
        <v>25</v>
      </c>
      <c r="K49" s="13" t="str">
        <f>_xlfn.XLOOKUP(D49,工作表2!A:A,工作表2!B:B)</f>
        <v>wrigAJEAAABNOMMpx7Myp5c-W_btv9CA</v>
      </c>
    </row>
    <row r="50" ht="12.75" customHeight="1" spans="1:11">
      <c r="A50" s="9">
        <v>49</v>
      </c>
      <c r="B50" s="9" t="s">
        <v>142</v>
      </c>
      <c r="C50" s="9" t="s">
        <v>143</v>
      </c>
      <c r="D50" s="22" t="s">
        <v>144</v>
      </c>
      <c r="E50" s="9" t="s">
        <v>161</v>
      </c>
      <c r="F50" s="9" t="s">
        <v>162</v>
      </c>
      <c r="G50" s="9" t="s">
        <v>24</v>
      </c>
      <c r="H50" s="20"/>
      <c r="I50" s="20" t="s">
        <v>25</v>
      </c>
      <c r="J50" s="21" t="s">
        <v>25</v>
      </c>
      <c r="K50" s="13" t="str">
        <f>_xlfn.XLOOKUP(D50,工作表2!A:A,工作表2!B:B)</f>
        <v>wrigAJEAAABNOMMpx7Myp5c-W_btv9CA</v>
      </c>
    </row>
    <row r="51" ht="12.75" customHeight="1" spans="1:11">
      <c r="A51" s="9">
        <v>50</v>
      </c>
      <c r="B51" s="9" t="s">
        <v>142</v>
      </c>
      <c r="C51" s="9" t="s">
        <v>143</v>
      </c>
      <c r="D51" s="22" t="s">
        <v>144</v>
      </c>
      <c r="E51" s="9" t="s">
        <v>163</v>
      </c>
      <c r="F51" s="9" t="s">
        <v>164</v>
      </c>
      <c r="G51" s="9" t="s">
        <v>24</v>
      </c>
      <c r="H51" s="20"/>
      <c r="I51" s="20" t="s">
        <v>25</v>
      </c>
      <c r="J51" s="21" t="s">
        <v>25</v>
      </c>
      <c r="K51" s="13" t="str">
        <f>_xlfn.XLOOKUP(D51,工作表2!A:A,工作表2!B:B)</f>
        <v>wrigAJEAAABNOMMpx7Myp5c-W_btv9CA</v>
      </c>
    </row>
    <row r="52" ht="12.75" customHeight="1" spans="1:11">
      <c r="A52" s="9">
        <v>51</v>
      </c>
      <c r="B52" s="9" t="s">
        <v>142</v>
      </c>
      <c r="C52" s="9" t="s">
        <v>143</v>
      </c>
      <c r="D52" s="22" t="s">
        <v>144</v>
      </c>
      <c r="E52" s="9" t="s">
        <v>165</v>
      </c>
      <c r="F52" s="9" t="s">
        <v>166</v>
      </c>
      <c r="G52" s="9" t="s">
        <v>24</v>
      </c>
      <c r="H52" s="20"/>
      <c r="I52" s="20" t="s">
        <v>25</v>
      </c>
      <c r="J52" s="21" t="s">
        <v>25</v>
      </c>
      <c r="K52" s="13" t="str">
        <f>_xlfn.XLOOKUP(D52,工作表2!A:A,工作表2!B:B)</f>
        <v>wrigAJEAAABNOMMpx7Myp5c-W_btv9CA</v>
      </c>
    </row>
    <row r="53" ht="12.75" customHeight="1" spans="1:11">
      <c r="A53" s="9">
        <v>52</v>
      </c>
      <c r="B53" s="9" t="s">
        <v>142</v>
      </c>
      <c r="C53" s="9" t="s">
        <v>143</v>
      </c>
      <c r="D53" s="22" t="s">
        <v>144</v>
      </c>
      <c r="E53" s="9" t="s">
        <v>167</v>
      </c>
      <c r="F53" s="9" t="s">
        <v>168</v>
      </c>
      <c r="G53" s="9" t="s">
        <v>24</v>
      </c>
      <c r="H53" s="20"/>
      <c r="I53" s="20" t="s">
        <v>25</v>
      </c>
      <c r="J53" s="21" t="s">
        <v>25</v>
      </c>
      <c r="K53" s="13" t="str">
        <f>_xlfn.XLOOKUP(D53,工作表2!A:A,工作表2!B:B)</f>
        <v>wrigAJEAAABNOMMpx7Myp5c-W_btv9CA</v>
      </c>
    </row>
    <row r="54" ht="12.75" customHeight="1" spans="1:11">
      <c r="A54" s="9">
        <v>53</v>
      </c>
      <c r="B54" s="9" t="s">
        <v>142</v>
      </c>
      <c r="C54" s="9" t="s">
        <v>143</v>
      </c>
      <c r="D54" s="22" t="s">
        <v>144</v>
      </c>
      <c r="E54" s="9" t="s">
        <v>169</v>
      </c>
      <c r="F54" s="9" t="s">
        <v>170</v>
      </c>
      <c r="G54" s="9" t="s">
        <v>24</v>
      </c>
      <c r="H54" s="20"/>
      <c r="I54" s="20" t="s">
        <v>25</v>
      </c>
      <c r="J54" s="21" t="s">
        <v>25</v>
      </c>
      <c r="K54" s="13" t="str">
        <f>_xlfn.XLOOKUP(D54,工作表2!A:A,工作表2!B:B)</f>
        <v>wrigAJEAAABNOMMpx7Myp5c-W_btv9CA</v>
      </c>
    </row>
    <row r="55" ht="12.75" customHeight="1" spans="1:11">
      <c r="A55" s="9">
        <v>54</v>
      </c>
      <c r="B55" s="9" t="s">
        <v>142</v>
      </c>
      <c r="C55" s="9" t="s">
        <v>143</v>
      </c>
      <c r="D55" s="22" t="s">
        <v>144</v>
      </c>
      <c r="E55" s="9" t="s">
        <v>171</v>
      </c>
      <c r="F55" s="9" t="s">
        <v>172</v>
      </c>
      <c r="G55" s="9" t="s">
        <v>24</v>
      </c>
      <c r="H55" s="20"/>
      <c r="I55" s="20" t="s">
        <v>25</v>
      </c>
      <c r="J55" s="21" t="s">
        <v>25</v>
      </c>
      <c r="K55" s="13" t="str">
        <f>_xlfn.XLOOKUP(D55,工作表2!A:A,工作表2!B:B)</f>
        <v>wrigAJEAAABNOMMpx7Myp5c-W_btv9CA</v>
      </c>
    </row>
    <row r="56" ht="12.75" customHeight="1" spans="1:11">
      <c r="A56" s="9">
        <v>55</v>
      </c>
      <c r="B56" s="9" t="s">
        <v>89</v>
      </c>
      <c r="C56" s="9" t="s">
        <v>62</v>
      </c>
      <c r="D56" s="9" t="s">
        <v>173</v>
      </c>
      <c r="E56" s="9" t="s">
        <v>174</v>
      </c>
      <c r="F56" s="9" t="s">
        <v>175</v>
      </c>
      <c r="G56" s="9"/>
      <c r="H56" s="20"/>
      <c r="I56" s="20" t="s">
        <v>176</v>
      </c>
      <c r="J56" s="21" t="s">
        <v>25</v>
      </c>
      <c r="K56" s="13" t="str">
        <f>_xlfn.XLOOKUP(D56,工作表2!A:A,工作表2!B:B)</f>
        <v>wrigAJEAAABvAid47TodgsutJDoQso_A</v>
      </c>
    </row>
    <row r="57" ht="12.75" customHeight="1" spans="1:11">
      <c r="A57" s="9">
        <v>56</v>
      </c>
      <c r="B57" s="9" t="s">
        <v>89</v>
      </c>
      <c r="C57" s="9" t="s">
        <v>90</v>
      </c>
      <c r="D57" s="9" t="s">
        <v>177</v>
      </c>
      <c r="E57" s="9" t="s">
        <v>178</v>
      </c>
      <c r="F57" s="9" t="s">
        <v>179</v>
      </c>
      <c r="G57" s="9" t="s">
        <v>24</v>
      </c>
      <c r="H57" s="20"/>
      <c r="I57" s="20" t="s">
        <v>25</v>
      </c>
      <c r="J57" s="21" t="s">
        <v>25</v>
      </c>
      <c r="K57" s="13" t="str">
        <f>_xlfn.XLOOKUP(D57,工作表2!A:A,工作表2!B:B)</f>
        <v>wrigAJEAAAXOsrzQbNCbNY_1bEnMCuAw</v>
      </c>
    </row>
    <row r="58" ht="12.75" customHeight="1" spans="1:11">
      <c r="A58" s="9">
        <v>57</v>
      </c>
      <c r="B58" s="9" t="s">
        <v>89</v>
      </c>
      <c r="C58" s="9" t="s">
        <v>90</v>
      </c>
      <c r="D58" s="9" t="s">
        <v>177</v>
      </c>
      <c r="E58" s="9" t="s">
        <v>180</v>
      </c>
      <c r="F58" s="9" t="s">
        <v>181</v>
      </c>
      <c r="G58" s="9" t="s">
        <v>24</v>
      </c>
      <c r="H58" s="20"/>
      <c r="I58" s="20" t="s">
        <v>25</v>
      </c>
      <c r="J58" s="21" t="s">
        <v>25</v>
      </c>
      <c r="K58" s="13" t="str">
        <f>_xlfn.XLOOKUP(D58,工作表2!A:A,工作表2!B:B)</f>
        <v>wrigAJEAAAXOsrzQbNCbNY_1bEnMCuAw</v>
      </c>
    </row>
    <row r="59" ht="12.75" customHeight="1" spans="1:11">
      <c r="A59" s="9">
        <v>58</v>
      </c>
      <c r="B59" s="9" t="s">
        <v>89</v>
      </c>
      <c r="C59" s="9" t="s">
        <v>90</v>
      </c>
      <c r="D59" s="9" t="s">
        <v>177</v>
      </c>
      <c r="E59" s="9" t="s">
        <v>182</v>
      </c>
      <c r="F59" s="9" t="s">
        <v>183</v>
      </c>
      <c r="G59" s="9" t="s">
        <v>24</v>
      </c>
      <c r="H59" s="20"/>
      <c r="I59" s="20" t="s">
        <v>25</v>
      </c>
      <c r="J59" s="21" t="s">
        <v>25</v>
      </c>
      <c r="K59" s="13" t="str">
        <f>_xlfn.XLOOKUP(D59,工作表2!A:A,工作表2!B:B)</f>
        <v>wrigAJEAAAXOsrzQbNCbNY_1bEnMCuAw</v>
      </c>
    </row>
    <row r="60" ht="12.75" customHeight="1" spans="1:11">
      <c r="A60" s="9">
        <v>59</v>
      </c>
      <c r="B60" s="9" t="s">
        <v>89</v>
      </c>
      <c r="C60" s="9" t="s">
        <v>90</v>
      </c>
      <c r="D60" s="9" t="s">
        <v>177</v>
      </c>
      <c r="E60" s="9" t="s">
        <v>184</v>
      </c>
      <c r="F60" s="9" t="s">
        <v>185</v>
      </c>
      <c r="G60" s="9" t="s">
        <v>24</v>
      </c>
      <c r="H60" s="20"/>
      <c r="I60" s="20" t="s">
        <v>25</v>
      </c>
      <c r="J60" s="21" t="s">
        <v>25</v>
      </c>
      <c r="K60" s="13" t="str">
        <f>_xlfn.XLOOKUP(D60,工作表2!A:A,工作表2!B:B)</f>
        <v>wrigAJEAAAXOsrzQbNCbNY_1bEnMCuAw</v>
      </c>
    </row>
    <row r="61" ht="12.75" customHeight="1" spans="1:11">
      <c r="A61" s="9">
        <v>60</v>
      </c>
      <c r="B61" s="9" t="s">
        <v>89</v>
      </c>
      <c r="C61" s="9" t="s">
        <v>90</v>
      </c>
      <c r="D61" s="9" t="s">
        <v>177</v>
      </c>
      <c r="E61" s="9" t="s">
        <v>186</v>
      </c>
      <c r="F61" s="9" t="s">
        <v>187</v>
      </c>
      <c r="G61" s="9" t="s">
        <v>24</v>
      </c>
      <c r="H61" s="20"/>
      <c r="I61" s="20" t="s">
        <v>25</v>
      </c>
      <c r="J61" s="21" t="s">
        <v>25</v>
      </c>
      <c r="K61" s="13" t="str">
        <f>_xlfn.XLOOKUP(D61,工作表2!A:A,工作表2!B:B)</f>
        <v>wrigAJEAAAXOsrzQbNCbNY_1bEnMCuAw</v>
      </c>
    </row>
    <row r="62" ht="12.75" customHeight="1" spans="1:11">
      <c r="A62" s="9">
        <v>61</v>
      </c>
      <c r="B62" s="9" t="s">
        <v>89</v>
      </c>
      <c r="C62" s="9" t="s">
        <v>90</v>
      </c>
      <c r="D62" s="9" t="s">
        <v>177</v>
      </c>
      <c r="E62" s="9" t="s">
        <v>188</v>
      </c>
      <c r="F62" s="9" t="s">
        <v>189</v>
      </c>
      <c r="G62" s="9" t="s">
        <v>24</v>
      </c>
      <c r="H62" s="20"/>
      <c r="I62" s="20" t="s">
        <v>25</v>
      </c>
      <c r="J62" s="21" t="s">
        <v>25</v>
      </c>
      <c r="K62" s="13" t="str">
        <f>_xlfn.XLOOKUP(D62,工作表2!A:A,工作表2!B:B)</f>
        <v>wrigAJEAAAXOsrzQbNCbNY_1bEnMCuAw</v>
      </c>
    </row>
    <row r="63" ht="12.75" customHeight="1" spans="1:11">
      <c r="A63" s="9">
        <v>62</v>
      </c>
      <c r="B63" s="9" t="s">
        <v>89</v>
      </c>
      <c r="C63" s="9" t="s">
        <v>90</v>
      </c>
      <c r="D63" s="9" t="s">
        <v>190</v>
      </c>
      <c r="E63" s="9" t="s">
        <v>191</v>
      </c>
      <c r="F63" s="9" t="s">
        <v>192</v>
      </c>
      <c r="G63" s="9" t="s">
        <v>24</v>
      </c>
      <c r="H63" s="20"/>
      <c r="I63" s="20" t="s">
        <v>25</v>
      </c>
      <c r="J63" s="21" t="s">
        <v>25</v>
      </c>
      <c r="K63" s="13" t="str">
        <f>_xlfn.XLOOKUP(D63,工作表2!A:A,工作表2!B:B)</f>
        <v>wrigAJEAAAymRm_zQ7WBUW073vppc8Wg</v>
      </c>
    </row>
    <row r="64" ht="12.75" customHeight="1" spans="1:11">
      <c r="A64" s="9">
        <v>63</v>
      </c>
      <c r="B64" s="9" t="s">
        <v>89</v>
      </c>
      <c r="C64" s="9" t="s">
        <v>90</v>
      </c>
      <c r="D64" s="9" t="s">
        <v>190</v>
      </c>
      <c r="E64" s="9" t="s">
        <v>193</v>
      </c>
      <c r="F64" s="9" t="s">
        <v>194</v>
      </c>
      <c r="G64" s="9" t="s">
        <v>24</v>
      </c>
      <c r="H64" s="20"/>
      <c r="I64" s="20" t="s">
        <v>25</v>
      </c>
      <c r="J64" s="21" t="s">
        <v>25</v>
      </c>
      <c r="K64" s="13" t="str">
        <f>_xlfn.XLOOKUP(D64,工作表2!A:A,工作表2!B:B)</f>
        <v>wrigAJEAAAymRm_zQ7WBUW073vppc8Wg</v>
      </c>
    </row>
    <row r="65" ht="12.75" customHeight="1" spans="1:11">
      <c r="A65" s="9">
        <v>64</v>
      </c>
      <c r="B65" s="9" t="s">
        <v>89</v>
      </c>
      <c r="C65" s="9" t="s">
        <v>90</v>
      </c>
      <c r="D65" s="9" t="s">
        <v>190</v>
      </c>
      <c r="E65" s="9" t="s">
        <v>195</v>
      </c>
      <c r="F65" s="9" t="s">
        <v>196</v>
      </c>
      <c r="G65" s="9" t="s">
        <v>24</v>
      </c>
      <c r="H65" s="20"/>
      <c r="I65" s="20" t="s">
        <v>25</v>
      </c>
      <c r="J65" s="21" t="s">
        <v>25</v>
      </c>
      <c r="K65" s="13" t="str">
        <f>_xlfn.XLOOKUP(D65,工作表2!A:A,工作表2!B:B)</f>
        <v>wrigAJEAAAymRm_zQ7WBUW073vppc8Wg</v>
      </c>
    </row>
    <row r="66" ht="12.75" customHeight="1" spans="1:11">
      <c r="A66" s="9">
        <v>65</v>
      </c>
      <c r="B66" s="9" t="s">
        <v>89</v>
      </c>
      <c r="C66" s="9" t="s">
        <v>90</v>
      </c>
      <c r="D66" s="9" t="s">
        <v>190</v>
      </c>
      <c r="E66" s="9" t="s">
        <v>197</v>
      </c>
      <c r="F66" s="9" t="s">
        <v>198</v>
      </c>
      <c r="G66" s="9" t="s">
        <v>24</v>
      </c>
      <c r="H66" s="20"/>
      <c r="I66" s="20" t="s">
        <v>25</v>
      </c>
      <c r="J66" s="21" t="s">
        <v>25</v>
      </c>
      <c r="K66" s="13" t="str">
        <f>_xlfn.XLOOKUP(D66,工作表2!A:A,工作表2!B:B)</f>
        <v>wrigAJEAAAymRm_zQ7WBUW073vppc8Wg</v>
      </c>
    </row>
    <row r="67" ht="12.75" customHeight="1" spans="1:11">
      <c r="A67" s="9">
        <v>66</v>
      </c>
      <c r="B67" s="9" t="s">
        <v>89</v>
      </c>
      <c r="C67" s="9" t="s">
        <v>90</v>
      </c>
      <c r="D67" s="9" t="s">
        <v>190</v>
      </c>
      <c r="E67" s="9" t="s">
        <v>199</v>
      </c>
      <c r="F67" s="9" t="s">
        <v>200</v>
      </c>
      <c r="G67" s="9" t="s">
        <v>24</v>
      </c>
      <c r="H67" s="20"/>
      <c r="I67" s="20" t="s">
        <v>25</v>
      </c>
      <c r="J67" s="21" t="s">
        <v>25</v>
      </c>
      <c r="K67" s="13" t="str">
        <f>_xlfn.XLOOKUP(D67,工作表2!A:A,工作表2!B:B)</f>
        <v>wrigAJEAAAymRm_zQ7WBUW073vppc8Wg</v>
      </c>
    </row>
    <row r="68" ht="12.75" customHeight="1" spans="1:11">
      <c r="A68" s="9">
        <v>67</v>
      </c>
      <c r="B68" s="9" t="s">
        <v>89</v>
      </c>
      <c r="C68" s="9" t="s">
        <v>90</v>
      </c>
      <c r="D68" s="9" t="s">
        <v>190</v>
      </c>
      <c r="E68" s="9" t="s">
        <v>201</v>
      </c>
      <c r="F68" s="9" t="s">
        <v>202</v>
      </c>
      <c r="G68" s="9" t="s">
        <v>24</v>
      </c>
      <c r="H68" s="20"/>
      <c r="I68" s="20" t="s">
        <v>25</v>
      </c>
      <c r="J68" s="21" t="s">
        <v>25</v>
      </c>
      <c r="K68" s="13" t="str">
        <f>_xlfn.XLOOKUP(D68,工作表2!A:A,工作表2!B:B)</f>
        <v>wrigAJEAAAymRm_zQ7WBUW073vppc8Wg</v>
      </c>
    </row>
    <row r="69" ht="12.75" customHeight="1" spans="1:11">
      <c r="A69" s="9">
        <v>68</v>
      </c>
      <c r="B69" s="9" t="s">
        <v>89</v>
      </c>
      <c r="C69" s="9" t="s">
        <v>90</v>
      </c>
      <c r="D69" s="9" t="s">
        <v>203</v>
      </c>
      <c r="E69" s="9" t="s">
        <v>204</v>
      </c>
      <c r="F69" s="9" t="s">
        <v>205</v>
      </c>
      <c r="G69" s="9" t="s">
        <v>24</v>
      </c>
      <c r="H69" s="20"/>
      <c r="I69" s="20" t="s">
        <v>25</v>
      </c>
      <c r="J69" s="21" t="s">
        <v>25</v>
      </c>
      <c r="K69" s="13" t="str">
        <f>_xlfn.XLOOKUP(D69,工作表2!A:A,工作表2!B:B)</f>
        <v>wrigAJEAAA2SptTrK0CNgHG4IAxBEvFA</v>
      </c>
    </row>
    <row r="70" ht="12.75" customHeight="1" spans="1:11">
      <c r="A70" s="9">
        <v>69</v>
      </c>
      <c r="B70" s="9" t="s">
        <v>89</v>
      </c>
      <c r="C70" s="9" t="s">
        <v>90</v>
      </c>
      <c r="D70" s="9" t="s">
        <v>203</v>
      </c>
      <c r="E70" s="9" t="s">
        <v>206</v>
      </c>
      <c r="F70" s="9" t="s">
        <v>207</v>
      </c>
      <c r="G70" s="9" t="s">
        <v>24</v>
      </c>
      <c r="H70" s="20"/>
      <c r="I70" s="20" t="s">
        <v>25</v>
      </c>
      <c r="J70" s="21" t="s">
        <v>25</v>
      </c>
      <c r="K70" s="13" t="str">
        <f>_xlfn.XLOOKUP(D70,工作表2!A:A,工作表2!B:B)</f>
        <v>wrigAJEAAA2SptTrK0CNgHG4IAxBEvFA</v>
      </c>
    </row>
    <row r="71" ht="12.75" customHeight="1" spans="1:11">
      <c r="A71" s="9">
        <v>70</v>
      </c>
      <c r="B71" s="9" t="s">
        <v>89</v>
      </c>
      <c r="C71" s="9" t="s">
        <v>90</v>
      </c>
      <c r="D71" s="9" t="s">
        <v>203</v>
      </c>
      <c r="E71" s="9" t="s">
        <v>208</v>
      </c>
      <c r="F71" s="9" t="s">
        <v>209</v>
      </c>
      <c r="G71" s="9" t="s">
        <v>24</v>
      </c>
      <c r="H71" s="20"/>
      <c r="I71" s="20" t="s">
        <v>25</v>
      </c>
      <c r="J71" s="21" t="s">
        <v>25</v>
      </c>
      <c r="K71" s="13" t="str">
        <f>_xlfn.XLOOKUP(D71,工作表2!A:A,工作表2!B:B)</f>
        <v>wrigAJEAAA2SptTrK0CNgHG4IAxBEvFA</v>
      </c>
    </row>
    <row r="72" ht="12.75" customHeight="1" spans="1:11">
      <c r="A72" s="9">
        <v>71</v>
      </c>
      <c r="B72" s="9" t="s">
        <v>89</v>
      </c>
      <c r="C72" s="9" t="s">
        <v>90</v>
      </c>
      <c r="D72" s="9" t="s">
        <v>203</v>
      </c>
      <c r="E72" s="9" t="s">
        <v>210</v>
      </c>
      <c r="F72" s="9" t="s">
        <v>211</v>
      </c>
      <c r="G72" s="9" t="s">
        <v>24</v>
      </c>
      <c r="H72" s="20"/>
      <c r="I72" s="20" t="s">
        <v>25</v>
      </c>
      <c r="J72" s="21" t="s">
        <v>25</v>
      </c>
      <c r="K72" s="13" t="str">
        <f>_xlfn.XLOOKUP(D72,工作表2!A:A,工作表2!B:B)</f>
        <v>wrigAJEAAA2SptTrK0CNgHG4IAxBEvFA</v>
      </c>
    </row>
    <row r="73" ht="12.75" customHeight="1" spans="1:11">
      <c r="A73" s="9">
        <v>72</v>
      </c>
      <c r="B73" s="9" t="s">
        <v>89</v>
      </c>
      <c r="C73" s="9" t="s">
        <v>90</v>
      </c>
      <c r="D73" s="9" t="s">
        <v>203</v>
      </c>
      <c r="E73" s="9" t="s">
        <v>212</v>
      </c>
      <c r="F73" s="9" t="s">
        <v>213</v>
      </c>
      <c r="G73" s="9" t="s">
        <v>24</v>
      </c>
      <c r="H73" s="20"/>
      <c r="I73" s="20" t="s">
        <v>25</v>
      </c>
      <c r="J73" s="21" t="s">
        <v>25</v>
      </c>
      <c r="K73" s="13" t="str">
        <f>_xlfn.XLOOKUP(D73,工作表2!A:A,工作表2!B:B)</f>
        <v>wrigAJEAAA2SptTrK0CNgHG4IAxBEvFA</v>
      </c>
    </row>
    <row r="74" ht="12.75" customHeight="1" spans="1:11">
      <c r="A74" s="9">
        <v>73</v>
      </c>
      <c r="B74" s="9" t="s">
        <v>89</v>
      </c>
      <c r="C74" s="9" t="s">
        <v>90</v>
      </c>
      <c r="D74" s="9" t="s">
        <v>203</v>
      </c>
      <c r="E74" s="9" t="s">
        <v>214</v>
      </c>
      <c r="F74" s="9" t="s">
        <v>215</v>
      </c>
      <c r="G74" s="9" t="s">
        <v>24</v>
      </c>
      <c r="H74" s="20"/>
      <c r="I74" s="20" t="s">
        <v>25</v>
      </c>
      <c r="J74" s="21" t="s">
        <v>25</v>
      </c>
      <c r="K74" s="13" t="str">
        <f>_xlfn.XLOOKUP(D74,工作表2!A:A,工作表2!B:B)</f>
        <v>wrigAJEAAA2SptTrK0CNgHG4IAxBEvFA</v>
      </c>
    </row>
    <row r="75" ht="12.75" customHeight="1" spans="1:11">
      <c r="A75" s="9">
        <v>74</v>
      </c>
      <c r="B75" s="9" t="s">
        <v>89</v>
      </c>
      <c r="C75" s="9" t="s">
        <v>90</v>
      </c>
      <c r="D75" s="9" t="s">
        <v>203</v>
      </c>
      <c r="E75" s="9" t="s">
        <v>216</v>
      </c>
      <c r="F75" s="9" t="s">
        <v>217</v>
      </c>
      <c r="G75" s="9" t="s">
        <v>24</v>
      </c>
      <c r="H75" s="20"/>
      <c r="I75" s="20" t="s">
        <v>25</v>
      </c>
      <c r="J75" s="21" t="s">
        <v>25</v>
      </c>
      <c r="K75" s="13" t="str">
        <f>_xlfn.XLOOKUP(D75,工作表2!A:A,工作表2!B:B)</f>
        <v>wrigAJEAAA2SptTrK0CNgHG4IAxBEvFA</v>
      </c>
    </row>
    <row r="76" ht="12.75" customHeight="1" spans="1:11">
      <c r="A76" s="9">
        <v>75</v>
      </c>
      <c r="B76" s="9" t="s">
        <v>89</v>
      </c>
      <c r="C76" s="9" t="s">
        <v>90</v>
      </c>
      <c r="D76" s="9" t="s">
        <v>203</v>
      </c>
      <c r="E76" s="9" t="s">
        <v>218</v>
      </c>
      <c r="F76" s="9" t="s">
        <v>219</v>
      </c>
      <c r="G76" s="9" t="s">
        <v>24</v>
      </c>
      <c r="H76" s="20"/>
      <c r="I76" s="20" t="s">
        <v>25</v>
      </c>
      <c r="J76" s="21" t="s">
        <v>25</v>
      </c>
      <c r="K76" s="13" t="str">
        <f>_xlfn.XLOOKUP(D76,工作表2!A:A,工作表2!B:B)</f>
        <v>wrigAJEAAA2SptTrK0CNgHG4IAxBEvFA</v>
      </c>
    </row>
    <row r="77" ht="12.75" customHeight="1" spans="1:11">
      <c r="A77" s="9">
        <v>76</v>
      </c>
      <c r="B77" s="9" t="s">
        <v>89</v>
      </c>
      <c r="C77" s="9" t="s">
        <v>90</v>
      </c>
      <c r="D77" s="9" t="s">
        <v>203</v>
      </c>
      <c r="E77" s="9" t="s">
        <v>220</v>
      </c>
      <c r="F77" s="9" t="s">
        <v>221</v>
      </c>
      <c r="G77" s="9" t="s">
        <v>24</v>
      </c>
      <c r="H77" s="20"/>
      <c r="I77" s="20" t="s">
        <v>25</v>
      </c>
      <c r="J77" s="21" t="s">
        <v>25</v>
      </c>
      <c r="K77" s="13" t="str">
        <f>_xlfn.XLOOKUP(D77,工作表2!A:A,工作表2!B:B)</f>
        <v>wrigAJEAAA2SptTrK0CNgHG4IAxBEvFA</v>
      </c>
    </row>
    <row r="78" ht="12.75" customHeight="1" spans="1:11">
      <c r="A78" s="9">
        <v>77</v>
      </c>
      <c r="B78" s="9" t="s">
        <v>89</v>
      </c>
      <c r="C78" s="9" t="s">
        <v>90</v>
      </c>
      <c r="D78" s="9" t="s">
        <v>203</v>
      </c>
      <c r="E78" s="9" t="s">
        <v>222</v>
      </c>
      <c r="F78" s="9" t="s">
        <v>223</v>
      </c>
      <c r="G78" s="9" t="s">
        <v>24</v>
      </c>
      <c r="H78" s="20"/>
      <c r="I78" s="20" t="s">
        <v>25</v>
      </c>
      <c r="J78" s="21" t="s">
        <v>25</v>
      </c>
      <c r="K78" s="13" t="str">
        <f>_xlfn.XLOOKUP(D78,工作表2!A:A,工作表2!B:B)</f>
        <v>wrigAJEAAA2SptTrK0CNgHG4IAxBEvFA</v>
      </c>
    </row>
    <row r="79" ht="12.75" customHeight="1" spans="1:11">
      <c r="A79" s="9">
        <v>78</v>
      </c>
      <c r="B79" s="9" t="s">
        <v>89</v>
      </c>
      <c r="C79" s="9" t="s">
        <v>90</v>
      </c>
      <c r="D79" s="9" t="s">
        <v>203</v>
      </c>
      <c r="E79" s="9" t="s">
        <v>224</v>
      </c>
      <c r="F79" s="9" t="s">
        <v>225</v>
      </c>
      <c r="G79" s="9" t="s">
        <v>24</v>
      </c>
      <c r="H79" s="20"/>
      <c r="I79" s="20" t="s">
        <v>25</v>
      </c>
      <c r="J79" s="21" t="s">
        <v>25</v>
      </c>
      <c r="K79" s="13" t="str">
        <f>_xlfn.XLOOKUP(D79,工作表2!A:A,工作表2!B:B)</f>
        <v>wrigAJEAAA2SptTrK0CNgHG4IAxBEvFA</v>
      </c>
    </row>
    <row r="80" ht="12.75" customHeight="1" spans="1:11">
      <c r="A80" s="9">
        <v>79</v>
      </c>
      <c r="B80" s="9" t="s">
        <v>89</v>
      </c>
      <c r="C80" s="9" t="s">
        <v>90</v>
      </c>
      <c r="D80" s="9" t="s">
        <v>203</v>
      </c>
      <c r="E80" s="9" t="s">
        <v>226</v>
      </c>
      <c r="F80" s="9" t="s">
        <v>227</v>
      </c>
      <c r="G80" s="9" t="s">
        <v>24</v>
      </c>
      <c r="H80" s="20"/>
      <c r="I80" s="20" t="s">
        <v>25</v>
      </c>
      <c r="J80" s="21" t="s">
        <v>25</v>
      </c>
      <c r="K80" s="13" t="str">
        <f>_xlfn.XLOOKUP(D80,工作表2!A:A,工作表2!B:B)</f>
        <v>wrigAJEAAA2SptTrK0CNgHG4IAxBEvFA</v>
      </c>
    </row>
    <row r="81" ht="12.75" customHeight="1" spans="1:11">
      <c r="A81" s="9">
        <v>80</v>
      </c>
      <c r="B81" s="9" t="s">
        <v>89</v>
      </c>
      <c r="C81" s="9" t="s">
        <v>90</v>
      </c>
      <c r="D81" s="9" t="s">
        <v>203</v>
      </c>
      <c r="E81" s="9" t="s">
        <v>228</v>
      </c>
      <c r="F81" s="9" t="s">
        <v>229</v>
      </c>
      <c r="G81" s="9" t="s">
        <v>24</v>
      </c>
      <c r="H81" s="20"/>
      <c r="I81" s="20" t="s">
        <v>25</v>
      </c>
      <c r="J81" s="21" t="s">
        <v>25</v>
      </c>
      <c r="K81" s="13" t="str">
        <f>_xlfn.XLOOKUP(D81,工作表2!A:A,工作表2!B:B)</f>
        <v>wrigAJEAAA2SptTrK0CNgHG4IAxBEvFA</v>
      </c>
    </row>
    <row r="82" ht="12.75" customHeight="1" spans="1:11">
      <c r="A82" s="9">
        <v>81</v>
      </c>
      <c r="B82" s="9" t="s">
        <v>89</v>
      </c>
      <c r="C82" s="9" t="s">
        <v>90</v>
      </c>
      <c r="D82" s="9" t="s">
        <v>203</v>
      </c>
      <c r="E82" s="9" t="s">
        <v>230</v>
      </c>
      <c r="F82" s="9" t="s">
        <v>231</v>
      </c>
      <c r="G82" s="9" t="s">
        <v>24</v>
      </c>
      <c r="H82" s="20"/>
      <c r="I82" s="20" t="s">
        <v>25</v>
      </c>
      <c r="J82" s="21" t="s">
        <v>25</v>
      </c>
      <c r="K82" s="13" t="str">
        <f>_xlfn.XLOOKUP(D82,工作表2!A:A,工作表2!B:B)</f>
        <v>wrigAJEAAA2SptTrK0CNgHG4IAxBEvFA</v>
      </c>
    </row>
    <row r="83" ht="12.75" customHeight="1" spans="1:11">
      <c r="A83" s="9">
        <v>82</v>
      </c>
      <c r="B83" s="9" t="s">
        <v>89</v>
      </c>
      <c r="C83" s="9" t="s">
        <v>90</v>
      </c>
      <c r="D83" s="9" t="s">
        <v>203</v>
      </c>
      <c r="E83" s="9" t="s">
        <v>232</v>
      </c>
      <c r="F83" s="9" t="s">
        <v>233</v>
      </c>
      <c r="G83" s="9" t="s">
        <v>24</v>
      </c>
      <c r="H83" s="20"/>
      <c r="I83" s="20" t="s">
        <v>25</v>
      </c>
      <c r="J83" s="21" t="s">
        <v>25</v>
      </c>
      <c r="K83" s="13" t="str">
        <f>_xlfn.XLOOKUP(D83,工作表2!A:A,工作表2!B:B)</f>
        <v>wrigAJEAAA2SptTrK0CNgHG4IAxBEvFA</v>
      </c>
    </row>
    <row r="84" ht="12.75" customHeight="1" spans="1:11">
      <c r="A84" s="9">
        <v>83</v>
      </c>
      <c r="B84" s="9" t="s">
        <v>89</v>
      </c>
      <c r="C84" s="9" t="s">
        <v>90</v>
      </c>
      <c r="D84" s="9" t="s">
        <v>203</v>
      </c>
      <c r="E84" s="9" t="s">
        <v>234</v>
      </c>
      <c r="F84" s="9" t="s">
        <v>235</v>
      </c>
      <c r="G84" s="9" t="s">
        <v>24</v>
      </c>
      <c r="H84" s="20"/>
      <c r="I84" s="20" t="s">
        <v>25</v>
      </c>
      <c r="J84" s="21" t="s">
        <v>25</v>
      </c>
      <c r="K84" s="13" t="str">
        <f>_xlfn.XLOOKUP(D84,工作表2!A:A,工作表2!B:B)</f>
        <v>wrigAJEAAA2SptTrK0CNgHG4IAxBEvFA</v>
      </c>
    </row>
    <row r="85" ht="12.75" customHeight="1" spans="1:11">
      <c r="A85" s="9">
        <v>84</v>
      </c>
      <c r="B85" s="9" t="s">
        <v>89</v>
      </c>
      <c r="C85" s="9" t="s">
        <v>90</v>
      </c>
      <c r="D85" s="9" t="s">
        <v>203</v>
      </c>
      <c r="E85" s="9" t="s">
        <v>236</v>
      </c>
      <c r="F85" s="9" t="s">
        <v>237</v>
      </c>
      <c r="G85" s="9" t="s">
        <v>24</v>
      </c>
      <c r="H85" s="20"/>
      <c r="I85" s="20" t="s">
        <v>25</v>
      </c>
      <c r="J85" s="21" t="s">
        <v>25</v>
      </c>
      <c r="K85" s="13" t="str">
        <f>_xlfn.XLOOKUP(D85,工作表2!A:A,工作表2!B:B)</f>
        <v>wrigAJEAAA2SptTrK0CNgHG4IAxBEvFA</v>
      </c>
    </row>
    <row r="86" ht="12.75" customHeight="1" spans="1:11">
      <c r="A86" s="9">
        <v>85</v>
      </c>
      <c r="B86" s="9" t="s">
        <v>89</v>
      </c>
      <c r="C86" s="9" t="s">
        <v>90</v>
      </c>
      <c r="D86" s="9" t="s">
        <v>203</v>
      </c>
      <c r="E86" s="9" t="s">
        <v>238</v>
      </c>
      <c r="F86" s="9" t="s">
        <v>239</v>
      </c>
      <c r="G86" s="9" t="s">
        <v>24</v>
      </c>
      <c r="H86" s="20"/>
      <c r="I86" s="20" t="s">
        <v>25</v>
      </c>
      <c r="J86" s="21" t="s">
        <v>25</v>
      </c>
      <c r="K86" s="13" t="str">
        <f>_xlfn.XLOOKUP(D86,工作表2!A:A,工作表2!B:B)</f>
        <v>wrigAJEAAA2SptTrK0CNgHG4IAxBEvFA</v>
      </c>
    </row>
    <row r="87" ht="12.75" customHeight="1" spans="1:11">
      <c r="A87" s="9">
        <v>86</v>
      </c>
      <c r="B87" s="9" t="s">
        <v>89</v>
      </c>
      <c r="C87" s="9" t="s">
        <v>90</v>
      </c>
      <c r="D87" s="9" t="s">
        <v>203</v>
      </c>
      <c r="E87" s="9" t="s">
        <v>240</v>
      </c>
      <c r="F87" s="9" t="s">
        <v>241</v>
      </c>
      <c r="G87" s="9" t="s">
        <v>24</v>
      </c>
      <c r="H87" s="20"/>
      <c r="I87" s="20" t="s">
        <v>25</v>
      </c>
      <c r="J87" s="21" t="s">
        <v>25</v>
      </c>
      <c r="K87" s="13" t="str">
        <f>_xlfn.XLOOKUP(D87,工作表2!A:A,工作表2!B:B)</f>
        <v>wrigAJEAAA2SptTrK0CNgHG4IAxBEvFA</v>
      </c>
    </row>
    <row r="88" ht="12.75" customHeight="1" spans="1:11">
      <c r="A88" s="9">
        <v>87</v>
      </c>
      <c r="B88" s="9" t="s">
        <v>89</v>
      </c>
      <c r="C88" s="9" t="s">
        <v>90</v>
      </c>
      <c r="D88" s="9" t="s">
        <v>203</v>
      </c>
      <c r="E88" s="9" t="s">
        <v>242</v>
      </c>
      <c r="F88" s="9" t="s">
        <v>243</v>
      </c>
      <c r="G88" s="9" t="s">
        <v>24</v>
      </c>
      <c r="H88" s="20"/>
      <c r="I88" s="20" t="s">
        <v>25</v>
      </c>
      <c r="J88" s="21" t="s">
        <v>25</v>
      </c>
      <c r="K88" s="13" t="str">
        <f>_xlfn.XLOOKUP(D88,工作表2!A:A,工作表2!B:B)</f>
        <v>wrigAJEAAA2SptTrK0CNgHG4IAxBEvFA</v>
      </c>
    </row>
    <row r="89" ht="12.75" customHeight="1" spans="1:11">
      <c r="A89" s="9">
        <v>88</v>
      </c>
      <c r="B89" s="9" t="s">
        <v>89</v>
      </c>
      <c r="C89" s="9" t="s">
        <v>90</v>
      </c>
      <c r="D89" s="9" t="s">
        <v>244</v>
      </c>
      <c r="E89" s="9" t="s">
        <v>245</v>
      </c>
      <c r="F89" s="9" t="s">
        <v>246</v>
      </c>
      <c r="G89" s="9" t="s">
        <v>24</v>
      </c>
      <c r="H89" s="20"/>
      <c r="I89" s="20"/>
      <c r="J89" s="21" t="s">
        <v>25</v>
      </c>
      <c r="K89" s="13" t="str">
        <f>_xlfn.XLOOKUP(D89,工作表2!A:A,工作表2!B:B)</f>
        <v>wrigAJEAAANimi8seV9Zo2E3sQyplUvg</v>
      </c>
    </row>
    <row r="90" ht="12.75" customHeight="1" spans="1:11">
      <c r="A90" s="9">
        <v>89</v>
      </c>
      <c r="B90" s="9" t="s">
        <v>89</v>
      </c>
      <c r="C90" s="9" t="s">
        <v>90</v>
      </c>
      <c r="D90" s="9" t="s">
        <v>244</v>
      </c>
      <c r="E90" s="9" t="s">
        <v>247</v>
      </c>
      <c r="F90" s="9" t="s">
        <v>248</v>
      </c>
      <c r="G90" s="9" t="s">
        <v>24</v>
      </c>
      <c r="H90" s="20"/>
      <c r="I90" s="20"/>
      <c r="J90" s="21" t="s">
        <v>25</v>
      </c>
      <c r="K90" s="13" t="str">
        <f>_xlfn.XLOOKUP(D90,工作表2!A:A,工作表2!B:B)</f>
        <v>wrigAJEAAANimi8seV9Zo2E3sQyplUvg</v>
      </c>
    </row>
    <row r="91" ht="12.75" customHeight="1" spans="1:11">
      <c r="A91" s="9">
        <v>90</v>
      </c>
      <c r="B91" s="9" t="s">
        <v>89</v>
      </c>
      <c r="C91" s="9" t="s">
        <v>90</v>
      </c>
      <c r="D91" s="9" t="s">
        <v>244</v>
      </c>
      <c r="E91" s="9" t="s">
        <v>249</v>
      </c>
      <c r="F91" s="9" t="s">
        <v>250</v>
      </c>
      <c r="G91" s="9" t="s">
        <v>24</v>
      </c>
      <c r="H91" s="20"/>
      <c r="I91" s="20"/>
      <c r="J91" s="21" t="s">
        <v>25</v>
      </c>
      <c r="K91" s="13" t="str">
        <f>_xlfn.XLOOKUP(D91,工作表2!A:A,工作表2!B:B)</f>
        <v>wrigAJEAAANimi8seV9Zo2E3sQyplUvg</v>
      </c>
    </row>
    <row r="92" ht="12.75" customHeight="1" spans="1:11">
      <c r="A92" s="9">
        <v>91</v>
      </c>
      <c r="B92" s="9" t="s">
        <v>89</v>
      </c>
      <c r="C92" s="9" t="s">
        <v>90</v>
      </c>
      <c r="D92" s="9" t="s">
        <v>244</v>
      </c>
      <c r="E92" s="9" t="s">
        <v>251</v>
      </c>
      <c r="F92" s="9" t="s">
        <v>252</v>
      </c>
      <c r="G92" s="9" t="s">
        <v>24</v>
      </c>
      <c r="H92" s="20"/>
      <c r="I92" s="20"/>
      <c r="J92" s="21" t="s">
        <v>25</v>
      </c>
      <c r="K92" s="13" t="str">
        <f>_xlfn.XLOOKUP(D92,工作表2!A:A,工作表2!B:B)</f>
        <v>wrigAJEAAANimi8seV9Zo2E3sQyplUvg</v>
      </c>
    </row>
    <row r="93" ht="12.75" customHeight="1" spans="1:11">
      <c r="A93" s="9">
        <v>92</v>
      </c>
      <c r="B93" s="9" t="s">
        <v>89</v>
      </c>
      <c r="C93" s="9" t="s">
        <v>90</v>
      </c>
      <c r="D93" s="9" t="s">
        <v>244</v>
      </c>
      <c r="E93" s="9" t="s">
        <v>253</v>
      </c>
      <c r="F93" s="9" t="s">
        <v>254</v>
      </c>
      <c r="G93" s="9" t="s">
        <v>24</v>
      </c>
      <c r="H93" s="20"/>
      <c r="I93" s="20"/>
      <c r="J93" s="21" t="s">
        <v>25</v>
      </c>
      <c r="K93" s="13" t="str">
        <f>_xlfn.XLOOKUP(D93,工作表2!A:A,工作表2!B:B)</f>
        <v>wrigAJEAAANimi8seV9Zo2E3sQyplUvg</v>
      </c>
    </row>
    <row r="94" ht="12.75" customHeight="1" spans="1:11">
      <c r="A94" s="9">
        <v>93</v>
      </c>
      <c r="B94" s="9" t="s">
        <v>89</v>
      </c>
      <c r="C94" s="9" t="s">
        <v>90</v>
      </c>
      <c r="D94" s="9" t="s">
        <v>244</v>
      </c>
      <c r="E94" s="9" t="s">
        <v>255</v>
      </c>
      <c r="F94" s="9" t="s">
        <v>256</v>
      </c>
      <c r="G94" s="9" t="s">
        <v>24</v>
      </c>
      <c r="H94" s="20"/>
      <c r="I94" s="20"/>
      <c r="J94" s="21" t="s">
        <v>25</v>
      </c>
      <c r="K94" s="13" t="str">
        <f>_xlfn.XLOOKUP(D94,工作表2!A:A,工作表2!B:B)</f>
        <v>wrigAJEAAANimi8seV9Zo2E3sQyplUvg</v>
      </c>
    </row>
    <row r="95" ht="12.75" customHeight="1" spans="1:11">
      <c r="A95" s="9">
        <v>94</v>
      </c>
      <c r="B95" s="9" t="s">
        <v>89</v>
      </c>
      <c r="C95" s="9" t="s">
        <v>90</v>
      </c>
      <c r="D95" s="9" t="s">
        <v>244</v>
      </c>
      <c r="E95" s="9" t="s">
        <v>257</v>
      </c>
      <c r="F95" s="9" t="s">
        <v>258</v>
      </c>
      <c r="G95" s="9" t="s">
        <v>24</v>
      </c>
      <c r="H95" s="20"/>
      <c r="I95" s="20"/>
      <c r="J95" s="21" t="s">
        <v>25</v>
      </c>
      <c r="K95" s="13" t="str">
        <f>_xlfn.XLOOKUP(D95,工作表2!A:A,工作表2!B:B)</f>
        <v>wrigAJEAAANimi8seV9Zo2E3sQyplUvg</v>
      </c>
    </row>
    <row r="96" ht="12.75" customHeight="1" spans="1:11">
      <c r="A96" s="9">
        <v>95</v>
      </c>
      <c r="B96" s="9" t="s">
        <v>89</v>
      </c>
      <c r="C96" s="9" t="s">
        <v>90</v>
      </c>
      <c r="D96" s="9" t="s">
        <v>244</v>
      </c>
      <c r="E96" s="9" t="s">
        <v>259</v>
      </c>
      <c r="F96" s="9" t="s">
        <v>260</v>
      </c>
      <c r="G96" s="9" t="s">
        <v>24</v>
      </c>
      <c r="H96" s="20"/>
      <c r="I96" s="20"/>
      <c r="J96" s="21" t="s">
        <v>25</v>
      </c>
      <c r="K96" s="13" t="str">
        <f>_xlfn.XLOOKUP(D96,工作表2!A:A,工作表2!B:B)</f>
        <v>wrigAJEAAANimi8seV9Zo2E3sQyplUvg</v>
      </c>
    </row>
    <row r="97" ht="12.75" customHeight="1" spans="1:11">
      <c r="A97" s="9">
        <v>96</v>
      </c>
      <c r="B97" s="9" t="s">
        <v>89</v>
      </c>
      <c r="C97" s="9" t="s">
        <v>90</v>
      </c>
      <c r="D97" s="9" t="s">
        <v>244</v>
      </c>
      <c r="E97" s="9" t="s">
        <v>261</v>
      </c>
      <c r="F97" s="9" t="s">
        <v>262</v>
      </c>
      <c r="G97" s="9" t="s">
        <v>24</v>
      </c>
      <c r="H97" s="20"/>
      <c r="I97" s="20"/>
      <c r="J97" s="21" t="s">
        <v>25</v>
      </c>
      <c r="K97" s="13" t="str">
        <f>_xlfn.XLOOKUP(D97,工作表2!A:A,工作表2!B:B)</f>
        <v>wrigAJEAAANimi8seV9Zo2E3sQyplUvg</v>
      </c>
    </row>
    <row r="98" ht="12.75" customHeight="1" spans="1:11">
      <c r="A98" s="9">
        <v>97</v>
      </c>
      <c r="B98" s="9" t="s">
        <v>89</v>
      </c>
      <c r="C98" s="9" t="s">
        <v>90</v>
      </c>
      <c r="D98" s="9" t="s">
        <v>244</v>
      </c>
      <c r="E98" s="9" t="s">
        <v>263</v>
      </c>
      <c r="F98" s="9" t="s">
        <v>264</v>
      </c>
      <c r="G98" s="9" t="s">
        <v>24</v>
      </c>
      <c r="H98" s="20"/>
      <c r="I98" s="20"/>
      <c r="J98" s="21" t="s">
        <v>25</v>
      </c>
      <c r="K98" s="13" t="str">
        <f>_xlfn.XLOOKUP(D98,工作表2!A:A,工作表2!B:B)</f>
        <v>wrigAJEAAANimi8seV9Zo2E3sQyplUvg</v>
      </c>
    </row>
    <row r="99" ht="12.75" customHeight="1" spans="1:11">
      <c r="A99" s="9">
        <v>98</v>
      </c>
      <c r="B99" s="9" t="s">
        <v>89</v>
      </c>
      <c r="C99" s="9" t="s">
        <v>90</v>
      </c>
      <c r="D99" s="9" t="s">
        <v>244</v>
      </c>
      <c r="E99" s="9" t="s">
        <v>265</v>
      </c>
      <c r="F99" s="9" t="s">
        <v>266</v>
      </c>
      <c r="G99" s="9" t="s">
        <v>24</v>
      </c>
      <c r="H99" s="20"/>
      <c r="I99" s="20"/>
      <c r="J99" s="21" t="s">
        <v>25</v>
      </c>
      <c r="K99" s="13" t="str">
        <f>_xlfn.XLOOKUP(D99,工作表2!A:A,工作表2!B:B)</f>
        <v>wrigAJEAAANimi8seV9Zo2E3sQyplUvg</v>
      </c>
    </row>
    <row r="100" ht="12.75" customHeight="1" spans="1:11">
      <c r="A100" s="9">
        <v>99</v>
      </c>
      <c r="B100" s="9" t="s">
        <v>89</v>
      </c>
      <c r="C100" s="9" t="s">
        <v>90</v>
      </c>
      <c r="D100" s="9" t="s">
        <v>244</v>
      </c>
      <c r="E100" s="9" t="s">
        <v>267</v>
      </c>
      <c r="F100" s="9" t="s">
        <v>268</v>
      </c>
      <c r="G100" s="9" t="s">
        <v>24</v>
      </c>
      <c r="H100" s="20"/>
      <c r="I100" s="20"/>
      <c r="J100" s="21" t="s">
        <v>25</v>
      </c>
      <c r="K100" s="13" t="str">
        <f>_xlfn.XLOOKUP(D100,工作表2!A:A,工作表2!B:B)</f>
        <v>wrigAJEAAANimi8seV9Zo2E3sQyplUvg</v>
      </c>
    </row>
    <row r="101" ht="12.75" customHeight="1" spans="1:11">
      <c r="A101" s="9">
        <v>100</v>
      </c>
      <c r="B101" s="9" t="s">
        <v>89</v>
      </c>
      <c r="C101" s="9" t="s">
        <v>90</v>
      </c>
      <c r="D101" s="9" t="s">
        <v>244</v>
      </c>
      <c r="E101" s="9" t="s">
        <v>269</v>
      </c>
      <c r="F101" s="9" t="s">
        <v>270</v>
      </c>
      <c r="G101" s="9" t="s">
        <v>24</v>
      </c>
      <c r="H101" s="20"/>
      <c r="I101" s="20"/>
      <c r="J101" s="21" t="s">
        <v>25</v>
      </c>
      <c r="K101" s="13" t="str">
        <f>_xlfn.XLOOKUP(D101,工作表2!A:A,工作表2!B:B)</f>
        <v>wrigAJEAAANimi8seV9Zo2E3sQyplUvg</v>
      </c>
    </row>
    <row r="102" ht="12.75" customHeight="1" spans="1:11">
      <c r="A102" s="9">
        <v>101</v>
      </c>
      <c r="B102" s="9" t="s">
        <v>89</v>
      </c>
      <c r="C102" s="9" t="s">
        <v>90</v>
      </c>
      <c r="D102" s="9" t="s">
        <v>244</v>
      </c>
      <c r="E102" s="9" t="s">
        <v>271</v>
      </c>
      <c r="F102" s="9" t="s">
        <v>272</v>
      </c>
      <c r="G102" s="9" t="s">
        <v>24</v>
      </c>
      <c r="H102" s="20"/>
      <c r="I102" s="20"/>
      <c r="J102" s="21" t="s">
        <v>25</v>
      </c>
      <c r="K102" s="13" t="str">
        <f>_xlfn.XLOOKUP(D102,工作表2!A:A,工作表2!B:B)</f>
        <v>wrigAJEAAANimi8seV9Zo2E3sQyplUvg</v>
      </c>
    </row>
    <row r="103" ht="12.75" customHeight="1" spans="1:11">
      <c r="A103" s="9">
        <v>102</v>
      </c>
      <c r="B103" s="9" t="s">
        <v>89</v>
      </c>
      <c r="C103" s="9" t="s">
        <v>90</v>
      </c>
      <c r="D103" s="9" t="s">
        <v>244</v>
      </c>
      <c r="E103" s="9" t="s">
        <v>273</v>
      </c>
      <c r="F103" s="9" t="s">
        <v>274</v>
      </c>
      <c r="G103" s="9" t="s">
        <v>24</v>
      </c>
      <c r="H103" s="20"/>
      <c r="I103" s="20"/>
      <c r="J103" s="21" t="s">
        <v>25</v>
      </c>
      <c r="K103" s="13" t="str">
        <f>_xlfn.XLOOKUP(D103,工作表2!A:A,工作表2!B:B)</f>
        <v>wrigAJEAAANimi8seV9Zo2E3sQyplUvg</v>
      </c>
    </row>
    <row r="104" ht="12.75" customHeight="1" spans="1:11">
      <c r="A104" s="9">
        <v>103</v>
      </c>
      <c r="B104" s="9" t="s">
        <v>89</v>
      </c>
      <c r="C104" s="9" t="s">
        <v>90</v>
      </c>
      <c r="D104" s="9" t="s">
        <v>244</v>
      </c>
      <c r="E104" s="9" t="s">
        <v>275</v>
      </c>
      <c r="F104" s="9" t="s">
        <v>276</v>
      </c>
      <c r="G104" s="9" t="s">
        <v>24</v>
      </c>
      <c r="H104" s="20"/>
      <c r="I104" s="20"/>
      <c r="J104" s="21" t="s">
        <v>25</v>
      </c>
      <c r="K104" s="13" t="str">
        <f>_xlfn.XLOOKUP(D104,工作表2!A:A,工作表2!B:B)</f>
        <v>wrigAJEAAANimi8seV9Zo2E3sQyplUvg</v>
      </c>
    </row>
    <row r="105" ht="12.75" customHeight="1" spans="1:11">
      <c r="A105" s="9">
        <v>104</v>
      </c>
      <c r="B105" s="9" t="s">
        <v>89</v>
      </c>
      <c r="C105" s="9" t="s">
        <v>90</v>
      </c>
      <c r="D105" s="9" t="s">
        <v>244</v>
      </c>
      <c r="E105" s="9" t="s">
        <v>277</v>
      </c>
      <c r="F105" s="9" t="s">
        <v>278</v>
      </c>
      <c r="G105" s="9" t="s">
        <v>24</v>
      </c>
      <c r="H105" s="20"/>
      <c r="I105" s="20"/>
      <c r="J105" s="21" t="s">
        <v>25</v>
      </c>
      <c r="K105" s="13" t="str">
        <f>_xlfn.XLOOKUP(D105,工作表2!A:A,工作表2!B:B)</f>
        <v>wrigAJEAAANimi8seV9Zo2E3sQyplUvg</v>
      </c>
    </row>
    <row r="106" ht="12.75" customHeight="1" spans="1:11">
      <c r="A106" s="9">
        <v>105</v>
      </c>
      <c r="B106" s="9" t="s">
        <v>89</v>
      </c>
      <c r="C106" s="9" t="s">
        <v>90</v>
      </c>
      <c r="D106" s="9" t="s">
        <v>244</v>
      </c>
      <c r="E106" s="9" t="s">
        <v>279</v>
      </c>
      <c r="F106" s="9" t="s">
        <v>280</v>
      </c>
      <c r="G106" s="9" t="s">
        <v>24</v>
      </c>
      <c r="H106" s="20"/>
      <c r="I106" s="20"/>
      <c r="J106" s="21" t="s">
        <v>25</v>
      </c>
      <c r="K106" s="13" t="str">
        <f>_xlfn.XLOOKUP(D106,工作表2!A:A,工作表2!B:B)</f>
        <v>wrigAJEAAANimi8seV9Zo2E3sQyplUvg</v>
      </c>
    </row>
    <row r="107" ht="12.75" customHeight="1" spans="1:11">
      <c r="A107" s="9">
        <v>106</v>
      </c>
      <c r="B107" s="9" t="s">
        <v>89</v>
      </c>
      <c r="C107" s="9" t="s">
        <v>90</v>
      </c>
      <c r="D107" s="9" t="s">
        <v>244</v>
      </c>
      <c r="E107" s="9" t="s">
        <v>281</v>
      </c>
      <c r="F107" s="9" t="s">
        <v>282</v>
      </c>
      <c r="G107" s="9" t="s">
        <v>24</v>
      </c>
      <c r="H107" s="20"/>
      <c r="I107" s="20"/>
      <c r="J107" s="21" t="s">
        <v>25</v>
      </c>
      <c r="K107" s="13" t="str">
        <f>_xlfn.XLOOKUP(D107,工作表2!A:A,工作表2!B:B)</f>
        <v>wrigAJEAAANimi8seV9Zo2E3sQyplUvg</v>
      </c>
    </row>
    <row r="108" ht="12.75" customHeight="1" spans="1:11">
      <c r="A108" s="9">
        <v>107</v>
      </c>
      <c r="B108" s="9" t="s">
        <v>89</v>
      </c>
      <c r="C108" s="9" t="s">
        <v>90</v>
      </c>
      <c r="D108" s="9" t="s">
        <v>244</v>
      </c>
      <c r="E108" s="9" t="s">
        <v>283</v>
      </c>
      <c r="F108" s="9" t="s">
        <v>284</v>
      </c>
      <c r="G108" s="9" t="s">
        <v>24</v>
      </c>
      <c r="H108" s="20"/>
      <c r="I108" s="20"/>
      <c r="J108" s="21" t="s">
        <v>25</v>
      </c>
      <c r="K108" s="13" t="str">
        <f>_xlfn.XLOOKUP(D108,工作表2!A:A,工作表2!B:B)</f>
        <v>wrigAJEAAANimi8seV9Zo2E3sQyplUvg</v>
      </c>
    </row>
    <row r="109" ht="12.75" customHeight="1" spans="1:11">
      <c r="A109" s="9">
        <v>108</v>
      </c>
      <c r="B109" s="9" t="s">
        <v>89</v>
      </c>
      <c r="C109" s="9" t="s">
        <v>90</v>
      </c>
      <c r="D109" s="9" t="s">
        <v>244</v>
      </c>
      <c r="E109" s="9" t="s">
        <v>285</v>
      </c>
      <c r="F109" s="9" t="s">
        <v>286</v>
      </c>
      <c r="G109" s="9" t="s">
        <v>24</v>
      </c>
      <c r="H109" s="20"/>
      <c r="I109" s="20"/>
      <c r="J109" s="21" t="s">
        <v>25</v>
      </c>
      <c r="K109" s="13" t="str">
        <f>_xlfn.XLOOKUP(D109,工作表2!A:A,工作表2!B:B)</f>
        <v>wrigAJEAAANimi8seV9Zo2E3sQyplUvg</v>
      </c>
    </row>
    <row r="110" ht="12.75" customHeight="1" spans="1:11">
      <c r="A110" s="9">
        <v>109</v>
      </c>
      <c r="B110" s="9" t="s">
        <v>89</v>
      </c>
      <c r="C110" s="9" t="s">
        <v>90</v>
      </c>
      <c r="D110" s="9" t="s">
        <v>244</v>
      </c>
      <c r="E110" s="9" t="s">
        <v>287</v>
      </c>
      <c r="F110" s="9" t="s">
        <v>288</v>
      </c>
      <c r="G110" s="9" t="s">
        <v>24</v>
      </c>
      <c r="H110" s="20"/>
      <c r="I110" s="20"/>
      <c r="J110" s="21" t="s">
        <v>25</v>
      </c>
      <c r="K110" s="13" t="str">
        <f>_xlfn.XLOOKUP(D110,工作表2!A:A,工作表2!B:B)</f>
        <v>wrigAJEAAANimi8seV9Zo2E3sQyplUvg</v>
      </c>
    </row>
    <row r="111" ht="12.75" customHeight="1" spans="1:11">
      <c r="A111" s="9">
        <v>110</v>
      </c>
      <c r="B111" s="9" t="s">
        <v>89</v>
      </c>
      <c r="C111" s="9" t="s">
        <v>90</v>
      </c>
      <c r="D111" s="9" t="s">
        <v>244</v>
      </c>
      <c r="E111" s="9" t="s">
        <v>289</v>
      </c>
      <c r="F111" s="9" t="s">
        <v>290</v>
      </c>
      <c r="G111" s="9" t="s">
        <v>24</v>
      </c>
      <c r="H111" s="20"/>
      <c r="I111" s="20"/>
      <c r="J111" s="21" t="s">
        <v>25</v>
      </c>
      <c r="K111" s="13" t="str">
        <f>_xlfn.XLOOKUP(D111,工作表2!A:A,工作表2!B:B)</f>
        <v>wrigAJEAAANimi8seV9Zo2E3sQyplUvg</v>
      </c>
    </row>
    <row r="112" ht="12.75" customHeight="1" spans="1:11">
      <c r="A112" s="9">
        <v>111</v>
      </c>
      <c r="B112" s="9" t="s">
        <v>89</v>
      </c>
      <c r="C112" s="9" t="s">
        <v>90</v>
      </c>
      <c r="D112" s="9" t="s">
        <v>244</v>
      </c>
      <c r="E112" s="9" t="s">
        <v>291</v>
      </c>
      <c r="F112" s="9" t="s">
        <v>292</v>
      </c>
      <c r="G112" s="9" t="s">
        <v>24</v>
      </c>
      <c r="H112" s="20"/>
      <c r="I112" s="20"/>
      <c r="J112" s="21" t="s">
        <v>25</v>
      </c>
      <c r="K112" s="13" t="str">
        <f>_xlfn.XLOOKUP(D112,工作表2!A:A,工作表2!B:B)</f>
        <v>wrigAJEAAANimi8seV9Zo2E3sQyplUvg</v>
      </c>
    </row>
    <row r="113" ht="12.75" customHeight="1" spans="1:12">
      <c r="A113" s="9">
        <v>112</v>
      </c>
      <c r="B113" s="9" t="s">
        <v>89</v>
      </c>
      <c r="C113" s="9" t="s">
        <v>90</v>
      </c>
      <c r="D113" s="9" t="s">
        <v>244</v>
      </c>
      <c r="E113" s="9" t="s">
        <v>293</v>
      </c>
      <c r="F113" s="9" t="s">
        <v>294</v>
      </c>
      <c r="G113" s="9" t="s">
        <v>24</v>
      </c>
      <c r="H113" s="20"/>
      <c r="I113" s="20"/>
      <c r="J113" s="21" t="s">
        <v>25</v>
      </c>
      <c r="K113" s="13" t="str">
        <f>_xlfn.XLOOKUP(D113,工作表2!A:A,工作表2!B:B)</f>
        <v>wrigAJEAAANimi8seV9Zo2E3sQyplUvg</v>
      </c>
    </row>
    <row r="114" ht="12.75" customHeight="1" spans="1:12">
      <c r="A114" s="9">
        <v>113</v>
      </c>
      <c r="B114" s="9" t="s">
        <v>89</v>
      </c>
      <c r="C114" s="9" t="s">
        <v>90</v>
      </c>
      <c r="D114" s="9" t="s">
        <v>244</v>
      </c>
      <c r="E114" s="9" t="s">
        <v>295</v>
      </c>
      <c r="F114" s="9" t="s">
        <v>296</v>
      </c>
      <c r="G114" s="9" t="s">
        <v>24</v>
      </c>
      <c r="H114" s="20"/>
      <c r="I114" s="20"/>
      <c r="J114" s="21" t="s">
        <v>25</v>
      </c>
      <c r="K114" s="13" t="str">
        <f>_xlfn.XLOOKUP(D114,工作表2!A:A,工作表2!B:B)</f>
        <v>wrigAJEAAANimi8seV9Zo2E3sQyplUvg</v>
      </c>
    </row>
    <row r="115" ht="12.75" customHeight="1" spans="1:12">
      <c r="A115" s="9">
        <v>114</v>
      </c>
      <c r="B115" s="9" t="s">
        <v>89</v>
      </c>
      <c r="C115" s="9" t="s">
        <v>90</v>
      </c>
      <c r="D115" s="9" t="s">
        <v>244</v>
      </c>
      <c r="E115" s="9" t="s">
        <v>297</v>
      </c>
      <c r="F115" s="9" t="s">
        <v>298</v>
      </c>
      <c r="G115" s="9" t="s">
        <v>24</v>
      </c>
      <c r="H115" s="20"/>
      <c r="I115" s="20"/>
      <c r="J115" s="21" t="s">
        <v>25</v>
      </c>
      <c r="K115" s="13" t="str">
        <f>_xlfn.XLOOKUP(D115,工作表2!A:A,工作表2!B:B)</f>
        <v>wrigAJEAAANimi8seV9Zo2E3sQyplUvg</v>
      </c>
    </row>
    <row r="116" ht="12.75" customHeight="1" spans="1:12">
      <c r="A116" s="9">
        <v>115</v>
      </c>
      <c r="B116" s="9" t="s">
        <v>89</v>
      </c>
      <c r="C116" s="9" t="s">
        <v>90</v>
      </c>
      <c r="D116" s="9" t="s">
        <v>244</v>
      </c>
      <c r="E116" s="9" t="s">
        <v>299</v>
      </c>
      <c r="F116" s="9" t="s">
        <v>300</v>
      </c>
      <c r="G116" s="9" t="s">
        <v>24</v>
      </c>
      <c r="H116" s="20"/>
      <c r="I116" s="20"/>
      <c r="J116" s="21" t="s">
        <v>25</v>
      </c>
      <c r="K116" s="13" t="str">
        <f>_xlfn.XLOOKUP(D116,工作表2!A:A,工作表2!B:B)</f>
        <v>wrigAJEAAANimi8seV9Zo2E3sQyplUvg</v>
      </c>
    </row>
    <row r="117" ht="12.75" customHeight="1" spans="1:12">
      <c r="A117" s="9">
        <v>116</v>
      </c>
      <c r="B117" s="9" t="s">
        <v>89</v>
      </c>
      <c r="C117" s="9" t="s">
        <v>90</v>
      </c>
      <c r="D117" s="9" t="s">
        <v>244</v>
      </c>
      <c r="E117" s="9" t="s">
        <v>301</v>
      </c>
      <c r="F117" s="9" t="s">
        <v>302</v>
      </c>
      <c r="G117" s="9" t="s">
        <v>24</v>
      </c>
      <c r="H117" s="20"/>
      <c r="I117" s="20"/>
      <c r="J117" s="21" t="s">
        <v>25</v>
      </c>
      <c r="K117" s="13" t="str">
        <f>_xlfn.XLOOKUP(D117,工作表2!A:A,工作表2!B:B)</f>
        <v>wrigAJEAAANimi8seV9Zo2E3sQyplUvg</v>
      </c>
    </row>
    <row r="118" ht="12.75" customHeight="1" spans="1:12">
      <c r="A118" s="9">
        <v>117</v>
      </c>
      <c r="B118" s="9" t="s">
        <v>89</v>
      </c>
      <c r="C118" s="9" t="s">
        <v>90</v>
      </c>
      <c r="D118" s="9" t="s">
        <v>244</v>
      </c>
      <c r="E118" s="9" t="s">
        <v>303</v>
      </c>
      <c r="F118" s="9" t="s">
        <v>304</v>
      </c>
      <c r="G118" s="9" t="s">
        <v>24</v>
      </c>
      <c r="H118" s="20"/>
      <c r="I118" s="20"/>
      <c r="J118" s="21" t="s">
        <v>25</v>
      </c>
      <c r="K118" s="13" t="str">
        <f>_xlfn.XLOOKUP(D118,工作表2!A:A,工作表2!B:B)</f>
        <v>wrigAJEAAANimi8seV9Zo2E3sQyplUvg</v>
      </c>
    </row>
    <row r="119" ht="12.75" customHeight="1" spans="1:12">
      <c r="A119" s="9">
        <v>118</v>
      </c>
      <c r="B119" s="9" t="s">
        <v>89</v>
      </c>
      <c r="C119" s="9" t="s">
        <v>90</v>
      </c>
      <c r="D119" s="9" t="s">
        <v>244</v>
      </c>
      <c r="E119" s="9" t="s">
        <v>305</v>
      </c>
      <c r="F119" s="9" t="s">
        <v>306</v>
      </c>
      <c r="G119" s="9" t="s">
        <v>24</v>
      </c>
      <c r="H119" s="20"/>
      <c r="I119" s="20"/>
      <c r="J119" s="21" t="s">
        <v>25</v>
      </c>
      <c r="K119" s="13" t="str">
        <f>_xlfn.XLOOKUP(D119,工作表2!A:A,工作表2!B:B)</f>
        <v>wrigAJEAAANimi8seV9Zo2E3sQyplUvg</v>
      </c>
    </row>
    <row r="120" ht="12.75" customHeight="1" spans="1:12">
      <c r="A120" s="9">
        <v>119</v>
      </c>
      <c r="B120" s="9" t="s">
        <v>89</v>
      </c>
      <c r="C120" s="9" t="s">
        <v>90</v>
      </c>
      <c r="D120" s="9" t="s">
        <v>244</v>
      </c>
      <c r="E120" s="9" t="s">
        <v>307</v>
      </c>
      <c r="F120" s="9" t="s">
        <v>308</v>
      </c>
      <c r="G120" s="9" t="s">
        <v>24</v>
      </c>
      <c r="H120" s="20"/>
      <c r="I120" s="20"/>
      <c r="J120" s="21" t="s">
        <v>25</v>
      </c>
      <c r="K120" s="13" t="str">
        <f>_xlfn.XLOOKUP(D120,工作表2!A:A,工作表2!B:B)</f>
        <v>wrigAJEAAANimi8seV9Zo2E3sQyplUvg</v>
      </c>
    </row>
    <row r="121" ht="12.75" customHeight="1" spans="1:12">
      <c r="A121" s="9">
        <v>120</v>
      </c>
      <c r="B121" s="9" t="s">
        <v>89</v>
      </c>
      <c r="C121" s="29" t="s">
        <v>90</v>
      </c>
      <c r="D121" s="29" t="s">
        <v>309</v>
      </c>
      <c r="E121" s="29" t="s">
        <v>310</v>
      </c>
      <c r="F121" s="29" t="s">
        <v>311</v>
      </c>
      <c r="G121" s="29" t="s">
        <v>312</v>
      </c>
      <c r="H121" s="20"/>
      <c r="I121" s="20"/>
      <c r="J121" s="21" t="s">
        <v>25</v>
      </c>
      <c r="K121" s="13" t="str">
        <f>_xlfn.XLOOKUP(D121,工作表2!A:A,工作表2!B:B)</f>
        <v>wrigAJEAAAe2NsHQAkhgbX1oY65LY8xw</v>
      </c>
      <c r="L121" s="13" t="s">
        <v>26</v>
      </c>
    </row>
    <row r="122" ht="12.75" customHeight="1" spans="1:12">
      <c r="A122" s="9">
        <v>121</v>
      </c>
      <c r="B122" s="9" t="s">
        <v>89</v>
      </c>
      <c r="C122" s="24" t="s">
        <v>313</v>
      </c>
      <c r="D122" s="9" t="s">
        <v>314</v>
      </c>
      <c r="E122" s="24" t="s">
        <v>315</v>
      </c>
      <c r="F122" s="9" t="s">
        <v>316</v>
      </c>
      <c r="G122" s="9"/>
      <c r="H122" s="20"/>
      <c r="I122" s="20"/>
      <c r="J122" s="21" t="s">
        <v>317</v>
      </c>
      <c r="K122" s="13" t="str">
        <f>_xlfn.XLOOKUP(D122,工作表2!A:A,工作表2!B:B)</f>
        <v>wrigAJEAAAmenCQfzrbif9EMeFSJARyQ</v>
      </c>
    </row>
    <row r="123" ht="12.75" customHeight="1" spans="1:12">
      <c r="A123" s="9">
        <v>122</v>
      </c>
      <c r="B123" s="9" t="s">
        <v>89</v>
      </c>
      <c r="C123" s="24" t="s">
        <v>313</v>
      </c>
      <c r="D123" s="9" t="s">
        <v>318</v>
      </c>
      <c r="E123" s="24" t="s">
        <v>319</v>
      </c>
      <c r="F123" s="9" t="s">
        <v>320</v>
      </c>
      <c r="G123" s="9"/>
      <c r="H123" s="20"/>
      <c r="I123" s="20"/>
      <c r="J123" s="21" t="s">
        <v>317</v>
      </c>
      <c r="K123" s="13" t="str">
        <f>_xlfn.XLOOKUP(D123,工作表2!A:A,工作表2!B:B)</f>
        <v>wrigAJEAAAp9U6c5s60Ii40nBSSUfHqw</v>
      </c>
    </row>
    <row r="124" ht="12.75" customHeight="1" spans="1:12">
      <c r="A124" s="9">
        <v>123</v>
      </c>
      <c r="B124" s="9" t="s">
        <v>89</v>
      </c>
      <c r="C124" s="9" t="s">
        <v>90</v>
      </c>
      <c r="D124" s="9" t="s">
        <v>321</v>
      </c>
      <c r="E124" s="9" t="s">
        <v>259</v>
      </c>
      <c r="F124" s="9" t="s">
        <v>260</v>
      </c>
      <c r="G124" s="9"/>
      <c r="H124" s="20"/>
      <c r="I124" s="20"/>
      <c r="J124" s="21" t="s">
        <v>317</v>
      </c>
      <c r="K124" s="13" t="str">
        <f>_xlfn.XLOOKUP(D124,工作表2!A:A,工作表2!B:B)</f>
        <v>wrigAJEAAATFcoRR62rWM94GBObBMHow</v>
      </c>
    </row>
    <row r="125" ht="12.75" customHeight="1" spans="1:12">
      <c r="A125" s="9">
        <v>124</v>
      </c>
      <c r="B125" s="9" t="s">
        <v>89</v>
      </c>
      <c r="C125" s="9" t="s">
        <v>90</v>
      </c>
      <c r="D125" s="9" t="s">
        <v>322</v>
      </c>
      <c r="E125" s="9" t="s">
        <v>323</v>
      </c>
      <c r="F125" s="9" t="s">
        <v>324</v>
      </c>
      <c r="G125" s="9"/>
      <c r="H125" s="20"/>
      <c r="I125" s="20"/>
      <c r="J125" s="21" t="s">
        <v>317</v>
      </c>
      <c r="K125" s="13" t="str">
        <f>_xlfn.XLOOKUP(D125,工作表2!A:A,工作表2!B:B)</f>
        <v>wrigAJEAAAfTP_LqvNuBeYhocgtfaF3A</v>
      </c>
    </row>
    <row r="126" ht="12.75" customHeight="1" spans="1:12">
      <c r="A126" s="9">
        <v>125</v>
      </c>
      <c r="B126" s="9" t="s">
        <v>112</v>
      </c>
      <c r="C126" s="9" t="s">
        <v>90</v>
      </c>
      <c r="D126" s="9" t="s">
        <v>325</v>
      </c>
      <c r="E126" s="9" t="s">
        <v>326</v>
      </c>
      <c r="F126" s="30" t="s">
        <v>327</v>
      </c>
      <c r="G126" s="9" t="s">
        <v>24</v>
      </c>
      <c r="H126" s="20"/>
      <c r="I126" s="20" t="s">
        <v>317</v>
      </c>
      <c r="J126" s="21" t="s">
        <v>317</v>
      </c>
      <c r="K126" s="13" t="str">
        <f>_xlfn.XLOOKUP(D126,工作表2!A:A,工作表2!B:B)</f>
        <v>wrigAJEAAA4KoktJG0sUPh2pEDYtu0rA</v>
      </c>
    </row>
    <row r="127" ht="12.75" customHeight="1" spans="1:12">
      <c r="A127" s="9">
        <v>126</v>
      </c>
      <c r="B127" s="9" t="s">
        <v>112</v>
      </c>
      <c r="C127" s="9" t="s">
        <v>90</v>
      </c>
      <c r="D127" s="9" t="s">
        <v>325</v>
      </c>
      <c r="E127" s="9" t="s">
        <v>328</v>
      </c>
      <c r="F127" s="30" t="s">
        <v>329</v>
      </c>
      <c r="G127" s="9" t="s">
        <v>24</v>
      </c>
      <c r="H127" s="20"/>
      <c r="I127" s="20" t="s">
        <v>317</v>
      </c>
      <c r="J127" s="21" t="s">
        <v>317</v>
      </c>
      <c r="K127" s="13" t="str">
        <f>_xlfn.XLOOKUP(D127,工作表2!A:A,工作表2!B:B)</f>
        <v>wrigAJEAAA4KoktJG0sUPh2pEDYtu0rA</v>
      </c>
    </row>
    <row r="128" ht="12.75" customHeight="1" spans="1:12">
      <c r="A128" s="9">
        <v>127</v>
      </c>
      <c r="B128" s="9" t="s">
        <v>112</v>
      </c>
      <c r="C128" s="9" t="s">
        <v>90</v>
      </c>
      <c r="D128" s="9" t="s">
        <v>325</v>
      </c>
      <c r="E128" s="9" t="s">
        <v>330</v>
      </c>
      <c r="F128" s="30" t="s">
        <v>331</v>
      </c>
      <c r="G128" s="9" t="s">
        <v>24</v>
      </c>
      <c r="H128" s="20"/>
      <c r="I128" s="20" t="s">
        <v>317</v>
      </c>
      <c r="J128" s="21" t="s">
        <v>317</v>
      </c>
      <c r="K128" s="13" t="str">
        <f>_xlfn.XLOOKUP(D128,工作表2!A:A,工作表2!B:B)</f>
        <v>wrigAJEAAA4KoktJG0sUPh2pEDYtu0rA</v>
      </c>
    </row>
    <row r="129" ht="12.75" customHeight="1" spans="1:11">
      <c r="A129" s="9">
        <v>128</v>
      </c>
      <c r="B129" s="9" t="s">
        <v>112</v>
      </c>
      <c r="C129" s="9" t="s">
        <v>90</v>
      </c>
      <c r="D129" s="9" t="s">
        <v>325</v>
      </c>
      <c r="E129" s="9" t="s">
        <v>332</v>
      </c>
      <c r="F129" s="30" t="s">
        <v>333</v>
      </c>
      <c r="G129" s="9" t="s">
        <v>24</v>
      </c>
      <c r="H129" s="20"/>
      <c r="I129" s="20" t="s">
        <v>317</v>
      </c>
      <c r="J129" s="21" t="s">
        <v>317</v>
      </c>
      <c r="K129" s="13" t="str">
        <f>_xlfn.XLOOKUP(D129,工作表2!A:A,工作表2!B:B)</f>
        <v>wrigAJEAAA4KoktJG0sUPh2pEDYtu0rA</v>
      </c>
    </row>
    <row r="130" ht="12.75" customHeight="1" spans="1:11">
      <c r="A130" s="9">
        <v>129</v>
      </c>
      <c r="B130" s="9" t="s">
        <v>112</v>
      </c>
      <c r="C130" s="9" t="s">
        <v>90</v>
      </c>
      <c r="D130" s="9" t="s">
        <v>325</v>
      </c>
      <c r="E130" s="9" t="s">
        <v>334</v>
      </c>
      <c r="F130" s="30" t="s">
        <v>335</v>
      </c>
      <c r="G130" s="9" t="s">
        <v>24</v>
      </c>
      <c r="H130" s="20"/>
      <c r="I130" s="20" t="s">
        <v>317</v>
      </c>
      <c r="J130" s="21" t="s">
        <v>317</v>
      </c>
      <c r="K130" s="13" t="str">
        <f>_xlfn.XLOOKUP(D130,工作表2!A:A,工作表2!B:B)</f>
        <v>wrigAJEAAA4KoktJG0sUPh2pEDYtu0rA</v>
      </c>
    </row>
    <row r="131" ht="12.75" customHeight="1" spans="1:11">
      <c r="A131" s="9">
        <v>130</v>
      </c>
      <c r="B131" s="9" t="s">
        <v>112</v>
      </c>
      <c r="C131" s="9" t="s">
        <v>90</v>
      </c>
      <c r="D131" s="9" t="s">
        <v>325</v>
      </c>
      <c r="E131" s="9" t="s">
        <v>336</v>
      </c>
      <c r="F131" s="30" t="s">
        <v>337</v>
      </c>
      <c r="G131" s="9" t="s">
        <v>24</v>
      </c>
      <c r="H131" s="20"/>
      <c r="I131" s="20" t="s">
        <v>317</v>
      </c>
      <c r="J131" s="21" t="s">
        <v>317</v>
      </c>
      <c r="K131" s="13" t="str">
        <f>_xlfn.XLOOKUP(D131,工作表2!A:A,工作表2!B:B)</f>
        <v>wrigAJEAAA4KoktJG0sUPh2pEDYtu0rA</v>
      </c>
    </row>
    <row r="132" ht="12.75" customHeight="1" spans="1:11">
      <c r="A132" s="9">
        <v>131</v>
      </c>
      <c r="B132" s="9" t="s">
        <v>112</v>
      </c>
      <c r="C132" s="9" t="s">
        <v>90</v>
      </c>
      <c r="D132" s="9" t="s">
        <v>325</v>
      </c>
      <c r="E132" s="9" t="s">
        <v>338</v>
      </c>
      <c r="F132" s="30" t="s">
        <v>339</v>
      </c>
      <c r="G132" s="9" t="s">
        <v>24</v>
      </c>
      <c r="H132" s="20"/>
      <c r="I132" s="20" t="s">
        <v>317</v>
      </c>
      <c r="J132" s="21" t="s">
        <v>317</v>
      </c>
      <c r="K132" s="13" t="str">
        <f>_xlfn.XLOOKUP(D132,工作表2!A:A,工作表2!B:B)</f>
        <v>wrigAJEAAA4KoktJG0sUPh2pEDYtu0rA</v>
      </c>
    </row>
    <row r="133" ht="12.75" customHeight="1" spans="1:11">
      <c r="A133" s="9">
        <v>132</v>
      </c>
      <c r="B133" s="9" t="s">
        <v>112</v>
      </c>
      <c r="C133" s="9" t="s">
        <v>90</v>
      </c>
      <c r="D133" s="9" t="s">
        <v>325</v>
      </c>
      <c r="E133" s="9" t="s">
        <v>340</v>
      </c>
      <c r="F133" s="30" t="s">
        <v>341</v>
      </c>
      <c r="G133" s="9" t="s">
        <v>24</v>
      </c>
      <c r="H133" s="20"/>
      <c r="I133" s="20" t="s">
        <v>317</v>
      </c>
      <c r="J133" s="21" t="s">
        <v>317</v>
      </c>
      <c r="K133" s="13" t="str">
        <f>_xlfn.XLOOKUP(D133,工作表2!A:A,工作表2!B:B)</f>
        <v>wrigAJEAAA4KoktJG0sUPh2pEDYtu0rA</v>
      </c>
    </row>
    <row r="134" ht="12.75" customHeight="1" spans="1:11">
      <c r="A134" s="9">
        <v>133</v>
      </c>
      <c r="B134" s="9" t="s">
        <v>112</v>
      </c>
      <c r="C134" s="9" t="s">
        <v>90</v>
      </c>
      <c r="D134" s="9" t="s">
        <v>325</v>
      </c>
      <c r="E134" s="9" t="s">
        <v>342</v>
      </c>
      <c r="F134" s="30" t="s">
        <v>343</v>
      </c>
      <c r="G134" s="9" t="s">
        <v>24</v>
      </c>
      <c r="H134" s="20"/>
      <c r="I134" s="20" t="s">
        <v>317</v>
      </c>
      <c r="J134" s="21" t="s">
        <v>317</v>
      </c>
      <c r="K134" s="13" t="str">
        <f>_xlfn.XLOOKUP(D134,工作表2!A:A,工作表2!B:B)</f>
        <v>wrigAJEAAA4KoktJG0sUPh2pEDYtu0rA</v>
      </c>
    </row>
    <row r="135" ht="12.75" customHeight="1" spans="1:11">
      <c r="A135" s="9">
        <v>134</v>
      </c>
      <c r="B135" s="9" t="s">
        <v>112</v>
      </c>
      <c r="C135" s="9" t="s">
        <v>90</v>
      </c>
      <c r="D135" s="9" t="s">
        <v>325</v>
      </c>
      <c r="E135" s="9" t="s">
        <v>344</v>
      </c>
      <c r="F135" s="30" t="s">
        <v>345</v>
      </c>
      <c r="G135" s="9" t="s">
        <v>24</v>
      </c>
      <c r="H135" s="20"/>
      <c r="I135" s="20" t="s">
        <v>317</v>
      </c>
      <c r="J135" s="21" t="s">
        <v>317</v>
      </c>
      <c r="K135" s="13" t="str">
        <f>_xlfn.XLOOKUP(D135,工作表2!A:A,工作表2!B:B)</f>
        <v>wrigAJEAAA4KoktJG0sUPh2pEDYtu0rA</v>
      </c>
    </row>
    <row r="136" ht="12.75" customHeight="1" spans="1:11">
      <c r="A136" s="9">
        <v>135</v>
      </c>
      <c r="B136" s="9" t="s">
        <v>112</v>
      </c>
      <c r="C136" s="9" t="s">
        <v>90</v>
      </c>
      <c r="D136" s="9" t="s">
        <v>325</v>
      </c>
      <c r="E136" s="9" t="s">
        <v>346</v>
      </c>
      <c r="F136" s="30" t="s">
        <v>347</v>
      </c>
      <c r="G136" s="9" t="s">
        <v>24</v>
      </c>
      <c r="H136" s="20"/>
      <c r="I136" s="20" t="s">
        <v>317</v>
      </c>
      <c r="J136" s="21" t="s">
        <v>317</v>
      </c>
      <c r="K136" s="13" t="str">
        <f>_xlfn.XLOOKUP(D136,工作表2!A:A,工作表2!B:B)</f>
        <v>wrigAJEAAA4KoktJG0sUPh2pEDYtu0rA</v>
      </c>
    </row>
    <row r="137" ht="12.75" customHeight="1" spans="1:11">
      <c r="A137" s="9">
        <v>136</v>
      </c>
      <c r="B137" s="9" t="s">
        <v>112</v>
      </c>
      <c r="C137" s="9" t="s">
        <v>90</v>
      </c>
      <c r="D137" s="9" t="s">
        <v>325</v>
      </c>
      <c r="E137" s="9" t="s">
        <v>348</v>
      </c>
      <c r="F137" s="30" t="s">
        <v>349</v>
      </c>
      <c r="G137" s="9" t="s">
        <v>24</v>
      </c>
      <c r="H137" s="20"/>
      <c r="I137" s="20" t="s">
        <v>317</v>
      </c>
      <c r="J137" s="21" t="s">
        <v>317</v>
      </c>
      <c r="K137" s="13" t="str">
        <f>_xlfn.XLOOKUP(D137,工作表2!A:A,工作表2!B:B)</f>
        <v>wrigAJEAAA4KoktJG0sUPh2pEDYtu0rA</v>
      </c>
    </row>
    <row r="138" ht="12.75" customHeight="1" spans="1:11">
      <c r="A138" s="9">
        <v>137</v>
      </c>
      <c r="B138" s="9" t="s">
        <v>112</v>
      </c>
      <c r="C138" s="9" t="s">
        <v>90</v>
      </c>
      <c r="D138" s="9" t="s">
        <v>325</v>
      </c>
      <c r="E138" s="9" t="s">
        <v>350</v>
      </c>
      <c r="F138" s="30" t="s">
        <v>351</v>
      </c>
      <c r="G138" s="9" t="s">
        <v>24</v>
      </c>
      <c r="H138" s="20"/>
      <c r="I138" s="20" t="s">
        <v>317</v>
      </c>
      <c r="J138" s="21" t="s">
        <v>317</v>
      </c>
      <c r="K138" s="13" t="str">
        <f>_xlfn.XLOOKUP(D138,工作表2!A:A,工作表2!B:B)</f>
        <v>wrigAJEAAA4KoktJG0sUPh2pEDYtu0rA</v>
      </c>
    </row>
    <row r="139" ht="12.75" customHeight="1" spans="1:11">
      <c r="A139" s="9">
        <v>138</v>
      </c>
      <c r="B139" s="9" t="s">
        <v>112</v>
      </c>
      <c r="C139" s="9" t="s">
        <v>90</v>
      </c>
      <c r="D139" s="9" t="s">
        <v>325</v>
      </c>
      <c r="E139" s="9" t="s">
        <v>352</v>
      </c>
      <c r="F139" s="30" t="s">
        <v>353</v>
      </c>
      <c r="G139" s="9" t="s">
        <v>24</v>
      </c>
      <c r="H139" s="20"/>
      <c r="I139" s="20" t="s">
        <v>317</v>
      </c>
      <c r="J139" s="21" t="s">
        <v>317</v>
      </c>
      <c r="K139" s="13" t="str">
        <f>_xlfn.XLOOKUP(D139,工作表2!A:A,工作表2!B:B)</f>
        <v>wrigAJEAAA4KoktJG0sUPh2pEDYtu0rA</v>
      </c>
    </row>
    <row r="140" ht="12.75" customHeight="1" spans="1:11">
      <c r="A140" s="9">
        <v>139</v>
      </c>
      <c r="B140" s="9" t="s">
        <v>112</v>
      </c>
      <c r="C140" s="9" t="s">
        <v>90</v>
      </c>
      <c r="D140" s="9" t="s">
        <v>325</v>
      </c>
      <c r="E140" s="9" t="s">
        <v>354</v>
      </c>
      <c r="F140" s="30" t="s">
        <v>355</v>
      </c>
      <c r="G140" s="9" t="s">
        <v>24</v>
      </c>
      <c r="H140" s="20"/>
      <c r="I140" s="20" t="s">
        <v>317</v>
      </c>
      <c r="J140" s="21" t="s">
        <v>317</v>
      </c>
      <c r="K140" s="13" t="str">
        <f>_xlfn.XLOOKUP(D140,工作表2!A:A,工作表2!B:B)</f>
        <v>wrigAJEAAA4KoktJG0sUPh2pEDYtu0rA</v>
      </c>
    </row>
    <row r="141" ht="12.75" customHeight="1" spans="1:11">
      <c r="A141" s="9">
        <v>140</v>
      </c>
      <c r="B141" s="9" t="s">
        <v>112</v>
      </c>
      <c r="C141" s="9" t="s">
        <v>90</v>
      </c>
      <c r="D141" s="9" t="s">
        <v>325</v>
      </c>
      <c r="E141" s="9" t="s">
        <v>356</v>
      </c>
      <c r="F141" s="30" t="s">
        <v>357</v>
      </c>
      <c r="G141" s="9" t="s">
        <v>24</v>
      </c>
      <c r="H141" s="20"/>
      <c r="I141" s="20" t="s">
        <v>317</v>
      </c>
      <c r="J141" s="21" t="s">
        <v>317</v>
      </c>
      <c r="K141" s="13" t="str">
        <f>_xlfn.XLOOKUP(D141,工作表2!A:A,工作表2!B:B)</f>
        <v>wrigAJEAAA4KoktJG0sUPh2pEDYtu0rA</v>
      </c>
    </row>
    <row r="142" ht="12.75" customHeight="1" spans="1:11">
      <c r="A142" s="9">
        <v>141</v>
      </c>
      <c r="B142" s="9" t="s">
        <v>112</v>
      </c>
      <c r="C142" s="9" t="s">
        <v>90</v>
      </c>
      <c r="D142" s="9" t="s">
        <v>325</v>
      </c>
      <c r="E142" s="9" t="s">
        <v>358</v>
      </c>
      <c r="F142" s="30" t="s">
        <v>359</v>
      </c>
      <c r="G142" s="9" t="s">
        <v>24</v>
      </c>
      <c r="H142" s="20"/>
      <c r="I142" s="20" t="s">
        <v>317</v>
      </c>
      <c r="J142" s="21" t="s">
        <v>317</v>
      </c>
      <c r="K142" s="13" t="str">
        <f>_xlfn.XLOOKUP(D142,工作表2!A:A,工作表2!B:B)</f>
        <v>wrigAJEAAA4KoktJG0sUPh2pEDYtu0rA</v>
      </c>
    </row>
    <row r="143" ht="12.75" customHeight="1" spans="1:11">
      <c r="A143" s="9">
        <v>142</v>
      </c>
      <c r="B143" s="9" t="s">
        <v>112</v>
      </c>
      <c r="C143" s="9" t="s">
        <v>90</v>
      </c>
      <c r="D143" s="9" t="s">
        <v>325</v>
      </c>
      <c r="E143" s="9" t="s">
        <v>360</v>
      </c>
      <c r="F143" s="30" t="s">
        <v>361</v>
      </c>
      <c r="G143" s="9" t="s">
        <v>24</v>
      </c>
      <c r="H143" s="20"/>
      <c r="I143" s="20" t="s">
        <v>317</v>
      </c>
      <c r="J143" s="21" t="s">
        <v>317</v>
      </c>
      <c r="K143" s="13" t="str">
        <f>_xlfn.XLOOKUP(D143,工作表2!A:A,工作表2!B:B)</f>
        <v>wrigAJEAAA4KoktJG0sUPh2pEDYtu0rA</v>
      </c>
    </row>
    <row r="144" ht="12.75" customHeight="1" spans="1:11">
      <c r="A144" s="9">
        <v>143</v>
      </c>
      <c r="B144" s="9" t="s">
        <v>112</v>
      </c>
      <c r="C144" s="9" t="s">
        <v>90</v>
      </c>
      <c r="D144" s="9" t="s">
        <v>325</v>
      </c>
      <c r="E144" s="9" t="s">
        <v>362</v>
      </c>
      <c r="F144" s="30" t="s">
        <v>363</v>
      </c>
      <c r="G144" s="9" t="s">
        <v>24</v>
      </c>
      <c r="H144" s="20"/>
      <c r="I144" s="20" t="s">
        <v>317</v>
      </c>
      <c r="J144" s="21" t="s">
        <v>317</v>
      </c>
      <c r="K144" s="13" t="str">
        <f>_xlfn.XLOOKUP(D144,工作表2!A:A,工作表2!B:B)</f>
        <v>wrigAJEAAA4KoktJG0sUPh2pEDYtu0rA</v>
      </c>
    </row>
    <row r="145" ht="12.75" customHeight="1" spans="1:11">
      <c r="A145" s="9">
        <v>144</v>
      </c>
      <c r="B145" s="9" t="s">
        <v>112</v>
      </c>
      <c r="C145" s="9" t="s">
        <v>90</v>
      </c>
      <c r="D145" s="9" t="s">
        <v>325</v>
      </c>
      <c r="E145" s="9" t="s">
        <v>364</v>
      </c>
      <c r="F145" s="30" t="s">
        <v>365</v>
      </c>
      <c r="G145" s="9" t="s">
        <v>24</v>
      </c>
      <c r="H145" s="20"/>
      <c r="I145" s="20" t="s">
        <v>317</v>
      </c>
      <c r="J145" s="21" t="s">
        <v>317</v>
      </c>
      <c r="K145" s="13" t="str">
        <f>_xlfn.XLOOKUP(D145,工作表2!A:A,工作表2!B:B)</f>
        <v>wrigAJEAAA4KoktJG0sUPh2pEDYtu0rA</v>
      </c>
    </row>
    <row r="146" ht="12.75" customHeight="1" spans="1:11">
      <c r="A146" s="9">
        <v>145</v>
      </c>
      <c r="B146" s="9" t="s">
        <v>112</v>
      </c>
      <c r="C146" s="9" t="s">
        <v>90</v>
      </c>
      <c r="D146" s="9" t="s">
        <v>325</v>
      </c>
      <c r="E146" s="9" t="s">
        <v>366</v>
      </c>
      <c r="F146" s="30" t="s">
        <v>367</v>
      </c>
      <c r="G146" s="9" t="s">
        <v>24</v>
      </c>
      <c r="H146" s="20"/>
      <c r="I146" s="20" t="s">
        <v>317</v>
      </c>
      <c r="J146" s="21" t="s">
        <v>317</v>
      </c>
      <c r="K146" s="13" t="str">
        <f>_xlfn.XLOOKUP(D146,工作表2!A:A,工作表2!B:B)</f>
        <v>wrigAJEAAA4KoktJG0sUPh2pEDYtu0rA</v>
      </c>
    </row>
    <row r="147" ht="12.75" customHeight="1" spans="1:11">
      <c r="A147" s="9">
        <v>146</v>
      </c>
      <c r="B147" s="9" t="s">
        <v>112</v>
      </c>
      <c r="C147" s="9" t="s">
        <v>90</v>
      </c>
      <c r="D147" s="9" t="s">
        <v>325</v>
      </c>
      <c r="E147" s="9" t="s">
        <v>368</v>
      </c>
      <c r="F147" s="30" t="s">
        <v>369</v>
      </c>
      <c r="G147" s="9" t="s">
        <v>24</v>
      </c>
      <c r="H147" s="20"/>
      <c r="I147" s="20" t="s">
        <v>317</v>
      </c>
      <c r="J147" s="21" t="s">
        <v>317</v>
      </c>
      <c r="K147" s="13" t="str">
        <f>_xlfn.XLOOKUP(D147,工作表2!A:A,工作表2!B:B)</f>
        <v>wrigAJEAAA4KoktJG0sUPh2pEDYtu0rA</v>
      </c>
    </row>
    <row r="148" ht="12.75" customHeight="1" spans="1:11">
      <c r="A148" s="9">
        <v>147</v>
      </c>
      <c r="B148" s="9" t="s">
        <v>112</v>
      </c>
      <c r="C148" s="9" t="s">
        <v>90</v>
      </c>
      <c r="D148" s="9" t="s">
        <v>325</v>
      </c>
      <c r="E148" s="9" t="s">
        <v>370</v>
      </c>
      <c r="F148" s="30" t="s">
        <v>371</v>
      </c>
      <c r="G148" s="9" t="s">
        <v>24</v>
      </c>
      <c r="H148" s="20"/>
      <c r="I148" s="20" t="s">
        <v>317</v>
      </c>
      <c r="J148" s="21" t="s">
        <v>317</v>
      </c>
      <c r="K148" s="13" t="str">
        <f>_xlfn.XLOOKUP(D148,工作表2!A:A,工作表2!B:B)</f>
        <v>wrigAJEAAA4KoktJG0sUPh2pEDYtu0rA</v>
      </c>
    </row>
    <row r="149" ht="12.75" customHeight="1" spans="1:11">
      <c r="A149" s="9">
        <v>148</v>
      </c>
      <c r="B149" s="9" t="s">
        <v>112</v>
      </c>
      <c r="C149" s="9" t="s">
        <v>90</v>
      </c>
      <c r="D149" s="9" t="s">
        <v>325</v>
      </c>
      <c r="E149" s="9" t="s">
        <v>372</v>
      </c>
      <c r="F149" s="30" t="s">
        <v>373</v>
      </c>
      <c r="G149" s="9" t="s">
        <v>24</v>
      </c>
      <c r="H149" s="20"/>
      <c r="I149" s="20" t="s">
        <v>317</v>
      </c>
      <c r="J149" s="21" t="s">
        <v>317</v>
      </c>
      <c r="K149" s="13" t="str">
        <f>_xlfn.XLOOKUP(D149,工作表2!A:A,工作表2!B:B)</f>
        <v>wrigAJEAAA4KoktJG0sUPh2pEDYtu0rA</v>
      </c>
    </row>
    <row r="150" ht="12.75" customHeight="1" spans="1:11">
      <c r="A150" s="9">
        <v>149</v>
      </c>
      <c r="B150" s="9" t="s">
        <v>112</v>
      </c>
      <c r="C150" s="9" t="s">
        <v>90</v>
      </c>
      <c r="D150" s="9" t="s">
        <v>325</v>
      </c>
      <c r="E150" s="9" t="s">
        <v>374</v>
      </c>
      <c r="F150" s="30" t="s">
        <v>375</v>
      </c>
      <c r="G150" s="9" t="s">
        <v>24</v>
      </c>
      <c r="H150" s="20"/>
      <c r="I150" s="20" t="s">
        <v>317</v>
      </c>
      <c r="J150" s="21" t="s">
        <v>317</v>
      </c>
      <c r="K150" s="13" t="str">
        <f>_xlfn.XLOOKUP(D150,工作表2!A:A,工作表2!B:B)</f>
        <v>wrigAJEAAA4KoktJG0sUPh2pEDYtu0rA</v>
      </c>
    </row>
    <row r="151" ht="12.75" customHeight="1" spans="1:11">
      <c r="A151" s="9">
        <v>150</v>
      </c>
      <c r="B151" s="9" t="s">
        <v>112</v>
      </c>
      <c r="C151" s="9" t="s">
        <v>90</v>
      </c>
      <c r="D151" s="9" t="s">
        <v>325</v>
      </c>
      <c r="E151" s="9" t="s">
        <v>376</v>
      </c>
      <c r="F151" s="30" t="s">
        <v>377</v>
      </c>
      <c r="G151" s="9" t="s">
        <v>24</v>
      </c>
      <c r="H151" s="20"/>
      <c r="I151" s="20" t="s">
        <v>317</v>
      </c>
      <c r="J151" s="21" t="s">
        <v>317</v>
      </c>
      <c r="K151" s="13" t="str">
        <f>_xlfn.XLOOKUP(D151,工作表2!A:A,工作表2!B:B)</f>
        <v>wrigAJEAAA4KoktJG0sUPh2pEDYtu0rA</v>
      </c>
    </row>
    <row r="152" ht="12.75" customHeight="1" spans="1:11">
      <c r="A152" s="9">
        <v>151</v>
      </c>
      <c r="B152" s="9" t="s">
        <v>112</v>
      </c>
      <c r="C152" s="9" t="s">
        <v>90</v>
      </c>
      <c r="D152" s="9" t="s">
        <v>325</v>
      </c>
      <c r="E152" s="9" t="s">
        <v>378</v>
      </c>
      <c r="F152" s="30" t="s">
        <v>379</v>
      </c>
      <c r="G152" s="9" t="s">
        <v>24</v>
      </c>
      <c r="H152" s="20"/>
      <c r="I152" s="20" t="s">
        <v>317</v>
      </c>
      <c r="J152" s="21" t="s">
        <v>317</v>
      </c>
      <c r="K152" s="13" t="str">
        <f>_xlfn.XLOOKUP(D152,工作表2!A:A,工作表2!B:B)</f>
        <v>wrigAJEAAA4KoktJG0sUPh2pEDYtu0rA</v>
      </c>
    </row>
    <row r="153" ht="12.75" customHeight="1" spans="1:11">
      <c r="A153" s="9">
        <v>152</v>
      </c>
      <c r="B153" s="9" t="s">
        <v>112</v>
      </c>
      <c r="C153" s="9" t="s">
        <v>90</v>
      </c>
      <c r="D153" s="9" t="s">
        <v>325</v>
      </c>
      <c r="E153" s="9" t="s">
        <v>380</v>
      </c>
      <c r="F153" s="30" t="s">
        <v>381</v>
      </c>
      <c r="G153" s="9" t="s">
        <v>24</v>
      </c>
      <c r="H153" s="20"/>
      <c r="I153" s="20" t="s">
        <v>317</v>
      </c>
      <c r="J153" s="21" t="s">
        <v>317</v>
      </c>
      <c r="K153" s="13" t="str">
        <f>_xlfn.XLOOKUP(D153,工作表2!A:A,工作表2!B:B)</f>
        <v>wrigAJEAAA4KoktJG0sUPh2pEDYtu0rA</v>
      </c>
    </row>
    <row r="154" ht="12.75" customHeight="1" spans="1:11">
      <c r="A154" s="9">
        <v>153</v>
      </c>
      <c r="B154" s="9" t="s">
        <v>112</v>
      </c>
      <c r="C154" s="9" t="s">
        <v>90</v>
      </c>
      <c r="D154" s="9" t="s">
        <v>325</v>
      </c>
      <c r="E154" s="9" t="s">
        <v>382</v>
      </c>
      <c r="F154" s="30" t="s">
        <v>383</v>
      </c>
      <c r="G154" s="9" t="s">
        <v>24</v>
      </c>
      <c r="H154" s="20"/>
      <c r="I154" s="20" t="s">
        <v>317</v>
      </c>
      <c r="J154" s="21" t="s">
        <v>317</v>
      </c>
      <c r="K154" s="13" t="str">
        <f>_xlfn.XLOOKUP(D154,工作表2!A:A,工作表2!B:B)</f>
        <v>wrigAJEAAA4KoktJG0sUPh2pEDYtu0rA</v>
      </c>
    </row>
    <row r="155" ht="12.75" customHeight="1" spans="1:11">
      <c r="A155" s="9">
        <v>154</v>
      </c>
      <c r="B155" s="9" t="s">
        <v>112</v>
      </c>
      <c r="C155" s="9" t="s">
        <v>90</v>
      </c>
      <c r="D155" s="9" t="s">
        <v>325</v>
      </c>
      <c r="E155" s="9" t="s">
        <v>384</v>
      </c>
      <c r="F155" s="30" t="s">
        <v>385</v>
      </c>
      <c r="G155" s="9" t="s">
        <v>24</v>
      </c>
      <c r="H155" s="20"/>
      <c r="I155" s="20" t="s">
        <v>317</v>
      </c>
      <c r="J155" s="21" t="s">
        <v>317</v>
      </c>
      <c r="K155" s="13" t="str">
        <f>_xlfn.XLOOKUP(D155,工作表2!A:A,工作表2!B:B)</f>
        <v>wrigAJEAAA4KoktJG0sUPh2pEDYtu0rA</v>
      </c>
    </row>
    <row r="156" ht="12.75" customHeight="1" spans="1:11">
      <c r="A156" s="9">
        <v>155</v>
      </c>
      <c r="B156" s="9" t="s">
        <v>112</v>
      </c>
      <c r="C156" s="9" t="s">
        <v>90</v>
      </c>
      <c r="D156" s="9" t="s">
        <v>325</v>
      </c>
      <c r="E156" s="9" t="s">
        <v>386</v>
      </c>
      <c r="F156" s="30" t="s">
        <v>387</v>
      </c>
      <c r="G156" s="9" t="s">
        <v>24</v>
      </c>
      <c r="H156" s="20"/>
      <c r="I156" s="20" t="s">
        <v>317</v>
      </c>
      <c r="J156" s="21" t="s">
        <v>317</v>
      </c>
      <c r="K156" s="13" t="str">
        <f>_xlfn.XLOOKUP(D156,工作表2!A:A,工作表2!B:B)</f>
        <v>wrigAJEAAA4KoktJG0sUPh2pEDYtu0rA</v>
      </c>
    </row>
    <row r="157" ht="12.75" customHeight="1" spans="1:11">
      <c r="A157" s="9">
        <v>156</v>
      </c>
      <c r="B157" s="9" t="s">
        <v>112</v>
      </c>
      <c r="C157" s="9" t="s">
        <v>90</v>
      </c>
      <c r="D157" s="9" t="s">
        <v>325</v>
      </c>
      <c r="E157" s="9" t="s">
        <v>388</v>
      </c>
      <c r="F157" s="30" t="s">
        <v>389</v>
      </c>
      <c r="G157" s="9" t="s">
        <v>24</v>
      </c>
      <c r="H157" s="20"/>
      <c r="I157" s="20" t="s">
        <v>317</v>
      </c>
      <c r="J157" s="21" t="s">
        <v>317</v>
      </c>
      <c r="K157" s="13" t="str">
        <f>_xlfn.XLOOKUP(D157,工作表2!A:A,工作表2!B:B)</f>
        <v>wrigAJEAAA4KoktJG0sUPh2pEDYtu0rA</v>
      </c>
    </row>
    <row r="158" ht="12.75" customHeight="1" spans="1:11">
      <c r="A158" s="9">
        <v>157</v>
      </c>
      <c r="B158" s="9" t="s">
        <v>112</v>
      </c>
      <c r="C158" s="9" t="s">
        <v>90</v>
      </c>
      <c r="D158" s="9" t="s">
        <v>325</v>
      </c>
      <c r="E158" s="9" t="s">
        <v>390</v>
      </c>
      <c r="F158" s="30" t="s">
        <v>391</v>
      </c>
      <c r="G158" s="9" t="s">
        <v>24</v>
      </c>
      <c r="H158" s="20"/>
      <c r="I158" s="20" t="s">
        <v>317</v>
      </c>
      <c r="J158" s="21" t="s">
        <v>317</v>
      </c>
      <c r="K158" s="13" t="str">
        <f>_xlfn.XLOOKUP(D158,工作表2!A:A,工作表2!B:B)</f>
        <v>wrigAJEAAA4KoktJG0sUPh2pEDYtu0rA</v>
      </c>
    </row>
    <row r="159" ht="12.75" customHeight="1" spans="1:11">
      <c r="A159" s="9">
        <v>158</v>
      </c>
      <c r="B159" s="9" t="s">
        <v>112</v>
      </c>
      <c r="C159" s="9" t="s">
        <v>90</v>
      </c>
      <c r="D159" s="9" t="s">
        <v>325</v>
      </c>
      <c r="E159" s="9" t="s">
        <v>392</v>
      </c>
      <c r="F159" s="30" t="s">
        <v>393</v>
      </c>
      <c r="G159" s="9" t="s">
        <v>24</v>
      </c>
      <c r="H159" s="20"/>
      <c r="I159" s="20" t="s">
        <v>317</v>
      </c>
      <c r="J159" s="21" t="s">
        <v>317</v>
      </c>
      <c r="K159" s="13" t="str">
        <f>_xlfn.XLOOKUP(D159,工作表2!A:A,工作表2!B:B)</f>
        <v>wrigAJEAAA4KoktJG0sUPh2pEDYtu0rA</v>
      </c>
    </row>
    <row r="160" ht="12.75" customHeight="1" spans="1:11">
      <c r="A160" s="9">
        <v>159</v>
      </c>
      <c r="B160" s="9" t="s">
        <v>112</v>
      </c>
      <c r="C160" s="9" t="s">
        <v>90</v>
      </c>
      <c r="D160" s="9" t="s">
        <v>325</v>
      </c>
      <c r="E160" s="9" t="s">
        <v>394</v>
      </c>
      <c r="F160" s="30" t="s">
        <v>395</v>
      </c>
      <c r="G160" s="9" t="s">
        <v>24</v>
      </c>
      <c r="H160" s="20"/>
      <c r="I160" s="20" t="s">
        <v>317</v>
      </c>
      <c r="J160" s="21" t="s">
        <v>317</v>
      </c>
      <c r="K160" s="13" t="str">
        <f>_xlfn.XLOOKUP(D160,工作表2!A:A,工作表2!B:B)</f>
        <v>wrigAJEAAA4KoktJG0sUPh2pEDYtu0rA</v>
      </c>
    </row>
    <row r="161" ht="12.75" customHeight="1" spans="1:11">
      <c r="A161" s="9">
        <v>160</v>
      </c>
      <c r="B161" s="9" t="s">
        <v>112</v>
      </c>
      <c r="C161" s="9" t="s">
        <v>90</v>
      </c>
      <c r="D161" s="9" t="s">
        <v>325</v>
      </c>
      <c r="E161" s="9" t="s">
        <v>396</v>
      </c>
      <c r="F161" s="30" t="s">
        <v>397</v>
      </c>
      <c r="G161" s="9" t="s">
        <v>24</v>
      </c>
      <c r="H161" s="20"/>
      <c r="I161" s="20" t="s">
        <v>317</v>
      </c>
      <c r="J161" s="21" t="s">
        <v>317</v>
      </c>
      <c r="K161" s="13" t="str">
        <f>_xlfn.XLOOKUP(D161,工作表2!A:A,工作表2!B:B)</f>
        <v>wrigAJEAAA4KoktJG0sUPh2pEDYtu0rA</v>
      </c>
    </row>
    <row r="162" ht="12.75" customHeight="1" spans="1:11">
      <c r="A162" s="9">
        <v>161</v>
      </c>
      <c r="B162" s="9" t="s">
        <v>112</v>
      </c>
      <c r="C162" s="9" t="s">
        <v>90</v>
      </c>
      <c r="D162" s="9" t="s">
        <v>325</v>
      </c>
      <c r="E162" s="9" t="s">
        <v>398</v>
      </c>
      <c r="F162" s="30" t="s">
        <v>399</v>
      </c>
      <c r="G162" s="9" t="s">
        <v>24</v>
      </c>
      <c r="H162" s="20"/>
      <c r="I162" s="20" t="s">
        <v>317</v>
      </c>
      <c r="J162" s="21" t="s">
        <v>317</v>
      </c>
      <c r="K162" s="13" t="str">
        <f>_xlfn.XLOOKUP(D162,工作表2!A:A,工作表2!B:B)</f>
        <v>wrigAJEAAA4KoktJG0sUPh2pEDYtu0rA</v>
      </c>
    </row>
    <row r="163" ht="12.75" customHeight="1" spans="1:11">
      <c r="A163" s="9">
        <v>162</v>
      </c>
      <c r="B163" s="9" t="s">
        <v>112</v>
      </c>
      <c r="C163" s="9" t="s">
        <v>90</v>
      </c>
      <c r="D163" s="9" t="s">
        <v>325</v>
      </c>
      <c r="E163" s="9" t="s">
        <v>400</v>
      </c>
      <c r="F163" s="30" t="s">
        <v>401</v>
      </c>
      <c r="G163" s="9" t="s">
        <v>24</v>
      </c>
      <c r="H163" s="20"/>
      <c r="I163" s="20" t="s">
        <v>317</v>
      </c>
      <c r="J163" s="21" t="s">
        <v>317</v>
      </c>
      <c r="K163" s="13" t="str">
        <f>_xlfn.XLOOKUP(D163,工作表2!A:A,工作表2!B:B)</f>
        <v>wrigAJEAAA4KoktJG0sUPh2pEDYtu0rA</v>
      </c>
    </row>
    <row r="164" ht="12.75" customHeight="1" spans="1:11">
      <c r="A164" s="9">
        <v>163</v>
      </c>
      <c r="B164" s="9" t="s">
        <v>112</v>
      </c>
      <c r="C164" s="9" t="s">
        <v>90</v>
      </c>
      <c r="D164" s="9" t="s">
        <v>325</v>
      </c>
      <c r="E164" s="9" t="s">
        <v>402</v>
      </c>
      <c r="F164" s="30" t="s">
        <v>403</v>
      </c>
      <c r="G164" s="9" t="s">
        <v>24</v>
      </c>
      <c r="H164" s="20"/>
      <c r="I164" s="20" t="s">
        <v>317</v>
      </c>
      <c r="J164" s="21" t="s">
        <v>317</v>
      </c>
      <c r="K164" s="13" t="str">
        <f>_xlfn.XLOOKUP(D164,工作表2!A:A,工作表2!B:B)</f>
        <v>wrigAJEAAA4KoktJG0sUPh2pEDYtu0rA</v>
      </c>
    </row>
    <row r="165" ht="12.75" customHeight="1" spans="1:11">
      <c r="A165" s="9">
        <v>164</v>
      </c>
      <c r="B165" s="9" t="s">
        <v>112</v>
      </c>
      <c r="C165" s="9" t="s">
        <v>90</v>
      </c>
      <c r="D165" s="9" t="s">
        <v>325</v>
      </c>
      <c r="E165" s="9" t="s">
        <v>404</v>
      </c>
      <c r="F165" s="30" t="s">
        <v>405</v>
      </c>
      <c r="G165" s="9" t="s">
        <v>24</v>
      </c>
      <c r="H165" s="20"/>
      <c r="I165" s="20" t="s">
        <v>317</v>
      </c>
      <c r="J165" s="21" t="s">
        <v>317</v>
      </c>
      <c r="K165" s="13" t="str">
        <f>_xlfn.XLOOKUP(D165,工作表2!A:A,工作表2!B:B)</f>
        <v>wrigAJEAAA4KoktJG0sUPh2pEDYtu0rA</v>
      </c>
    </row>
    <row r="166" ht="12.75" customHeight="1" spans="1:11">
      <c r="A166" s="9">
        <v>165</v>
      </c>
      <c r="B166" s="9" t="s">
        <v>112</v>
      </c>
      <c r="C166" s="9" t="s">
        <v>90</v>
      </c>
      <c r="D166" s="9" t="s">
        <v>325</v>
      </c>
      <c r="E166" s="9" t="s">
        <v>406</v>
      </c>
      <c r="F166" s="30" t="s">
        <v>407</v>
      </c>
      <c r="G166" s="9" t="s">
        <v>24</v>
      </c>
      <c r="H166" s="20"/>
      <c r="I166" s="20" t="s">
        <v>317</v>
      </c>
      <c r="J166" s="21" t="s">
        <v>317</v>
      </c>
      <c r="K166" s="13" t="str">
        <f>_xlfn.XLOOKUP(D166,工作表2!A:A,工作表2!B:B)</f>
        <v>wrigAJEAAA4KoktJG0sUPh2pEDYtu0rA</v>
      </c>
    </row>
    <row r="167" ht="12.75" customHeight="1" spans="1:11">
      <c r="A167" s="9">
        <v>166</v>
      </c>
      <c r="B167" s="9" t="s">
        <v>112</v>
      </c>
      <c r="C167" s="9" t="s">
        <v>90</v>
      </c>
      <c r="D167" s="9" t="s">
        <v>325</v>
      </c>
      <c r="E167" s="9" t="s">
        <v>408</v>
      </c>
      <c r="F167" s="30" t="s">
        <v>409</v>
      </c>
      <c r="G167" s="9" t="s">
        <v>24</v>
      </c>
      <c r="H167" s="20"/>
      <c r="I167" s="20" t="s">
        <v>317</v>
      </c>
      <c r="J167" s="21" t="s">
        <v>317</v>
      </c>
      <c r="K167" s="13" t="str">
        <f>_xlfn.XLOOKUP(D167,工作表2!A:A,工作表2!B:B)</f>
        <v>wrigAJEAAA4KoktJG0sUPh2pEDYtu0rA</v>
      </c>
    </row>
    <row r="168" ht="12.75" customHeight="1" spans="1:11">
      <c r="A168" s="9">
        <v>167</v>
      </c>
      <c r="B168" s="9" t="s">
        <v>112</v>
      </c>
      <c r="C168" s="9" t="s">
        <v>90</v>
      </c>
      <c r="D168" s="9" t="s">
        <v>325</v>
      </c>
      <c r="E168" s="9" t="s">
        <v>410</v>
      </c>
      <c r="F168" s="30" t="s">
        <v>411</v>
      </c>
      <c r="G168" s="9" t="s">
        <v>24</v>
      </c>
      <c r="H168" s="20"/>
      <c r="I168" s="20" t="s">
        <v>317</v>
      </c>
      <c r="J168" s="21" t="s">
        <v>317</v>
      </c>
      <c r="K168" s="13" t="str">
        <f>_xlfn.XLOOKUP(D168,工作表2!A:A,工作表2!B:B)</f>
        <v>wrigAJEAAA4KoktJG0sUPh2pEDYtu0rA</v>
      </c>
    </row>
    <row r="169" ht="12.75" customHeight="1" spans="1:11">
      <c r="A169" s="9">
        <v>168</v>
      </c>
      <c r="B169" s="9" t="s">
        <v>112</v>
      </c>
      <c r="C169" s="9" t="s">
        <v>90</v>
      </c>
      <c r="D169" s="9" t="s">
        <v>325</v>
      </c>
      <c r="E169" s="9" t="s">
        <v>412</v>
      </c>
      <c r="F169" s="30" t="s">
        <v>413</v>
      </c>
      <c r="G169" s="9" t="s">
        <v>24</v>
      </c>
      <c r="H169" s="20"/>
      <c r="I169" s="20" t="s">
        <v>317</v>
      </c>
      <c r="J169" s="21" t="s">
        <v>317</v>
      </c>
      <c r="K169" s="13" t="str">
        <f>_xlfn.XLOOKUP(D169,工作表2!A:A,工作表2!B:B)</f>
        <v>wrigAJEAAA4KoktJG0sUPh2pEDYtu0rA</v>
      </c>
    </row>
    <row r="170" ht="12.75" customHeight="1" spans="1:11">
      <c r="A170" s="9">
        <v>169</v>
      </c>
      <c r="B170" s="9" t="s">
        <v>112</v>
      </c>
      <c r="C170" s="9" t="s">
        <v>90</v>
      </c>
      <c r="D170" s="9" t="s">
        <v>325</v>
      </c>
      <c r="E170" s="9" t="s">
        <v>414</v>
      </c>
      <c r="F170" s="30" t="s">
        <v>415</v>
      </c>
      <c r="G170" s="9" t="s">
        <v>24</v>
      </c>
      <c r="H170" s="20"/>
      <c r="I170" s="20" t="s">
        <v>317</v>
      </c>
      <c r="J170" s="21" t="s">
        <v>317</v>
      </c>
      <c r="K170" s="13" t="str">
        <f>_xlfn.XLOOKUP(D170,工作表2!A:A,工作表2!B:B)</f>
        <v>wrigAJEAAA4KoktJG0sUPh2pEDYtu0rA</v>
      </c>
    </row>
    <row r="171" ht="12.75" customHeight="1" spans="1:11">
      <c r="A171" s="9">
        <v>170</v>
      </c>
      <c r="B171" s="9" t="s">
        <v>112</v>
      </c>
      <c r="C171" s="9" t="s">
        <v>90</v>
      </c>
      <c r="D171" s="9" t="s">
        <v>325</v>
      </c>
      <c r="E171" s="9" t="s">
        <v>416</v>
      </c>
      <c r="F171" s="30" t="s">
        <v>417</v>
      </c>
      <c r="G171" s="9" t="s">
        <v>24</v>
      </c>
      <c r="H171" s="20"/>
      <c r="I171" s="20" t="s">
        <v>317</v>
      </c>
      <c r="J171" s="21" t="s">
        <v>317</v>
      </c>
      <c r="K171" s="13" t="str">
        <f>_xlfn.XLOOKUP(D171,工作表2!A:A,工作表2!B:B)</f>
        <v>wrigAJEAAA4KoktJG0sUPh2pEDYtu0rA</v>
      </c>
    </row>
    <row r="172" ht="12.75" customHeight="1" spans="1:11">
      <c r="A172" s="9">
        <v>171</v>
      </c>
      <c r="B172" s="9" t="s">
        <v>112</v>
      </c>
      <c r="C172" s="9" t="s">
        <v>90</v>
      </c>
      <c r="D172" s="9" t="s">
        <v>325</v>
      </c>
      <c r="E172" s="9" t="s">
        <v>418</v>
      </c>
      <c r="F172" s="30" t="s">
        <v>419</v>
      </c>
      <c r="G172" s="9" t="s">
        <v>24</v>
      </c>
      <c r="H172" s="20"/>
      <c r="I172" s="20" t="s">
        <v>317</v>
      </c>
      <c r="J172" s="21" t="s">
        <v>317</v>
      </c>
      <c r="K172" s="13" t="str">
        <f>_xlfn.XLOOKUP(D172,工作表2!A:A,工作表2!B:B)</f>
        <v>wrigAJEAAA4KoktJG0sUPh2pEDYtu0rA</v>
      </c>
    </row>
    <row r="173" ht="12.75" customHeight="1" spans="1:11">
      <c r="A173" s="9">
        <v>172</v>
      </c>
      <c r="B173" s="9" t="s">
        <v>112</v>
      </c>
      <c r="C173" s="9" t="s">
        <v>90</v>
      </c>
      <c r="D173" s="9" t="s">
        <v>325</v>
      </c>
      <c r="E173" s="9" t="s">
        <v>420</v>
      </c>
      <c r="F173" s="30" t="s">
        <v>421</v>
      </c>
      <c r="G173" s="9" t="s">
        <v>24</v>
      </c>
      <c r="H173" s="20"/>
      <c r="I173" s="20" t="s">
        <v>317</v>
      </c>
      <c r="J173" s="21" t="s">
        <v>317</v>
      </c>
      <c r="K173" s="13" t="str">
        <f>_xlfn.XLOOKUP(D173,工作表2!A:A,工作表2!B:B)</f>
        <v>wrigAJEAAA4KoktJG0sUPh2pEDYtu0rA</v>
      </c>
    </row>
    <row r="174" ht="12.75" customHeight="1" spans="1:11">
      <c r="A174" s="9">
        <v>173</v>
      </c>
      <c r="B174" s="9" t="s">
        <v>112</v>
      </c>
      <c r="C174" s="9" t="s">
        <v>90</v>
      </c>
      <c r="D174" s="9" t="s">
        <v>325</v>
      </c>
      <c r="E174" s="9" t="s">
        <v>422</v>
      </c>
      <c r="F174" s="30" t="s">
        <v>423</v>
      </c>
      <c r="G174" s="9" t="s">
        <v>24</v>
      </c>
      <c r="H174" s="20"/>
      <c r="I174" s="20" t="s">
        <v>317</v>
      </c>
      <c r="J174" s="21" t="s">
        <v>317</v>
      </c>
      <c r="K174" s="13" t="str">
        <f>_xlfn.XLOOKUP(D174,工作表2!A:A,工作表2!B:B)</f>
        <v>wrigAJEAAA4KoktJG0sUPh2pEDYtu0rA</v>
      </c>
    </row>
    <row r="175" ht="12.75" customHeight="1" spans="1:11">
      <c r="A175" s="9">
        <v>174</v>
      </c>
      <c r="B175" s="9" t="s">
        <v>112</v>
      </c>
      <c r="C175" s="9" t="s">
        <v>90</v>
      </c>
      <c r="D175" s="9" t="s">
        <v>325</v>
      </c>
      <c r="E175" s="9" t="s">
        <v>424</v>
      </c>
      <c r="F175" s="30" t="s">
        <v>425</v>
      </c>
      <c r="G175" s="9" t="s">
        <v>24</v>
      </c>
      <c r="H175" s="20"/>
      <c r="I175" s="20" t="s">
        <v>317</v>
      </c>
      <c r="J175" s="21" t="s">
        <v>317</v>
      </c>
      <c r="K175" s="13" t="str">
        <f>_xlfn.XLOOKUP(D175,工作表2!A:A,工作表2!B:B)</f>
        <v>wrigAJEAAA4KoktJG0sUPh2pEDYtu0rA</v>
      </c>
    </row>
    <row r="176" ht="12.75" customHeight="1" spans="1:11">
      <c r="A176" s="9">
        <v>175</v>
      </c>
      <c r="B176" s="9" t="s">
        <v>112</v>
      </c>
      <c r="C176" s="9" t="s">
        <v>90</v>
      </c>
      <c r="D176" s="9" t="s">
        <v>325</v>
      </c>
      <c r="E176" s="9" t="s">
        <v>426</v>
      </c>
      <c r="F176" s="30" t="s">
        <v>427</v>
      </c>
      <c r="G176" s="9" t="s">
        <v>24</v>
      </c>
      <c r="H176" s="20"/>
      <c r="I176" s="20" t="s">
        <v>317</v>
      </c>
      <c r="J176" s="21" t="s">
        <v>317</v>
      </c>
      <c r="K176" s="13" t="str">
        <f>_xlfn.XLOOKUP(D176,工作表2!A:A,工作表2!B:B)</f>
        <v>wrigAJEAAA4KoktJG0sUPh2pEDYtu0rA</v>
      </c>
    </row>
    <row r="177" ht="12.75" customHeight="1" spans="1:11">
      <c r="A177" s="9">
        <v>176</v>
      </c>
      <c r="B177" s="9" t="s">
        <v>112</v>
      </c>
      <c r="C177" s="9" t="s">
        <v>90</v>
      </c>
      <c r="D177" s="9" t="s">
        <v>325</v>
      </c>
      <c r="E177" s="9" t="s">
        <v>428</v>
      </c>
      <c r="F177" s="30" t="s">
        <v>429</v>
      </c>
      <c r="G177" s="9" t="s">
        <v>24</v>
      </c>
      <c r="H177" s="20"/>
      <c r="I177" s="20" t="s">
        <v>317</v>
      </c>
      <c r="J177" s="21" t="s">
        <v>317</v>
      </c>
      <c r="K177" s="13" t="str">
        <f>_xlfn.XLOOKUP(D177,工作表2!A:A,工作表2!B:B)</f>
        <v>wrigAJEAAA4KoktJG0sUPh2pEDYtu0rA</v>
      </c>
    </row>
    <row r="178" ht="12.75" customHeight="1" spans="1:11">
      <c r="A178" s="9">
        <v>177</v>
      </c>
      <c r="B178" s="9" t="s">
        <v>112</v>
      </c>
      <c r="C178" s="9" t="s">
        <v>90</v>
      </c>
      <c r="D178" s="9" t="s">
        <v>325</v>
      </c>
      <c r="E178" s="9" t="s">
        <v>430</v>
      </c>
      <c r="F178" s="30" t="s">
        <v>431</v>
      </c>
      <c r="G178" s="9" t="s">
        <v>24</v>
      </c>
      <c r="H178" s="20"/>
      <c r="I178" s="20" t="s">
        <v>317</v>
      </c>
      <c r="J178" s="21" t="s">
        <v>317</v>
      </c>
      <c r="K178" s="13" t="str">
        <f>_xlfn.XLOOKUP(D178,工作表2!A:A,工作表2!B:B)</f>
        <v>wrigAJEAAA4KoktJG0sUPh2pEDYtu0rA</v>
      </c>
    </row>
    <row r="179" ht="12.75" customHeight="1" spans="1:11">
      <c r="A179" s="9">
        <v>178</v>
      </c>
      <c r="B179" s="9" t="s">
        <v>112</v>
      </c>
      <c r="C179" s="9" t="s">
        <v>90</v>
      </c>
      <c r="D179" s="9" t="s">
        <v>325</v>
      </c>
      <c r="E179" s="9" t="s">
        <v>432</v>
      </c>
      <c r="F179" s="30" t="s">
        <v>433</v>
      </c>
      <c r="G179" s="9" t="s">
        <v>24</v>
      </c>
      <c r="H179" s="20"/>
      <c r="I179" s="20" t="s">
        <v>317</v>
      </c>
      <c r="J179" s="21" t="s">
        <v>317</v>
      </c>
      <c r="K179" s="13" t="str">
        <f>_xlfn.XLOOKUP(D179,工作表2!A:A,工作表2!B:B)</f>
        <v>wrigAJEAAA4KoktJG0sUPh2pEDYtu0rA</v>
      </c>
    </row>
    <row r="180" ht="12.75" customHeight="1" spans="1:11">
      <c r="A180" s="9">
        <v>179</v>
      </c>
      <c r="B180" s="9" t="s">
        <v>112</v>
      </c>
      <c r="C180" s="9" t="s">
        <v>90</v>
      </c>
      <c r="D180" s="9" t="s">
        <v>325</v>
      </c>
      <c r="E180" s="9" t="s">
        <v>434</v>
      </c>
      <c r="F180" s="30" t="s">
        <v>435</v>
      </c>
      <c r="G180" s="9" t="s">
        <v>24</v>
      </c>
      <c r="H180" s="20"/>
      <c r="I180" s="20" t="s">
        <v>317</v>
      </c>
      <c r="J180" s="21" t="s">
        <v>317</v>
      </c>
      <c r="K180" s="13" t="str">
        <f>_xlfn.XLOOKUP(D180,工作表2!A:A,工作表2!B:B)</f>
        <v>wrigAJEAAA4KoktJG0sUPh2pEDYtu0rA</v>
      </c>
    </row>
    <row r="181" ht="12.75" customHeight="1" spans="1:11">
      <c r="A181" s="9">
        <v>180</v>
      </c>
      <c r="B181" s="9" t="s">
        <v>112</v>
      </c>
      <c r="C181" s="9" t="s">
        <v>90</v>
      </c>
      <c r="D181" s="9" t="s">
        <v>325</v>
      </c>
      <c r="E181" s="9" t="s">
        <v>436</v>
      </c>
      <c r="F181" s="30" t="s">
        <v>437</v>
      </c>
      <c r="G181" s="9" t="s">
        <v>24</v>
      </c>
      <c r="H181" s="20"/>
      <c r="I181" s="20" t="s">
        <v>317</v>
      </c>
      <c r="J181" s="21" t="s">
        <v>317</v>
      </c>
      <c r="K181" s="13" t="str">
        <f>_xlfn.XLOOKUP(D181,工作表2!A:A,工作表2!B:B)</f>
        <v>wrigAJEAAA4KoktJG0sUPh2pEDYtu0rA</v>
      </c>
    </row>
    <row r="182" ht="12.75" customHeight="1" spans="1:11">
      <c r="A182" s="9">
        <v>181</v>
      </c>
      <c r="B182" s="9" t="s">
        <v>112</v>
      </c>
      <c r="C182" s="9" t="s">
        <v>90</v>
      </c>
      <c r="D182" s="9" t="s">
        <v>325</v>
      </c>
      <c r="E182" s="9" t="s">
        <v>438</v>
      </c>
      <c r="F182" s="30" t="s">
        <v>439</v>
      </c>
      <c r="G182" s="9" t="s">
        <v>24</v>
      </c>
      <c r="H182" s="20"/>
      <c r="I182" s="20" t="s">
        <v>317</v>
      </c>
      <c r="J182" s="21" t="s">
        <v>317</v>
      </c>
      <c r="K182" s="13" t="str">
        <f>_xlfn.XLOOKUP(D182,工作表2!A:A,工作表2!B:B)</f>
        <v>wrigAJEAAA4KoktJG0sUPh2pEDYtu0rA</v>
      </c>
    </row>
    <row r="183" ht="12.75" customHeight="1" spans="1:11">
      <c r="A183" s="9">
        <v>182</v>
      </c>
      <c r="B183" s="9" t="s">
        <v>112</v>
      </c>
      <c r="C183" s="9" t="s">
        <v>90</v>
      </c>
      <c r="D183" s="9" t="s">
        <v>325</v>
      </c>
      <c r="E183" s="9" t="s">
        <v>440</v>
      </c>
      <c r="F183" s="30" t="s">
        <v>441</v>
      </c>
      <c r="G183" s="9" t="s">
        <v>24</v>
      </c>
      <c r="H183" s="20"/>
      <c r="I183" s="20" t="s">
        <v>317</v>
      </c>
      <c r="J183" s="21" t="s">
        <v>317</v>
      </c>
      <c r="K183" s="13" t="str">
        <f>_xlfn.XLOOKUP(D183,工作表2!A:A,工作表2!B:B)</f>
        <v>wrigAJEAAA4KoktJG0sUPh2pEDYtu0rA</v>
      </c>
    </row>
    <row r="184" ht="12.75" customHeight="1" spans="1:11">
      <c r="A184" s="9">
        <v>183</v>
      </c>
      <c r="B184" s="9" t="s">
        <v>112</v>
      </c>
      <c r="C184" s="9" t="s">
        <v>90</v>
      </c>
      <c r="D184" s="9" t="s">
        <v>325</v>
      </c>
      <c r="E184" s="9" t="s">
        <v>442</v>
      </c>
      <c r="F184" s="30" t="s">
        <v>443</v>
      </c>
      <c r="G184" s="9" t="s">
        <v>24</v>
      </c>
      <c r="H184" s="20"/>
      <c r="I184" s="20" t="s">
        <v>317</v>
      </c>
      <c r="J184" s="21" t="s">
        <v>317</v>
      </c>
      <c r="K184" s="13" t="str">
        <f>_xlfn.XLOOKUP(D184,工作表2!A:A,工作表2!B:B)</f>
        <v>wrigAJEAAA4KoktJG0sUPh2pEDYtu0rA</v>
      </c>
    </row>
    <row r="185" ht="12.75" customHeight="1" spans="1:11">
      <c r="A185" s="9">
        <v>184</v>
      </c>
      <c r="B185" s="9" t="s">
        <v>112</v>
      </c>
      <c r="C185" s="9" t="s">
        <v>90</v>
      </c>
      <c r="D185" s="9" t="s">
        <v>325</v>
      </c>
      <c r="E185" s="9" t="s">
        <v>444</v>
      </c>
      <c r="F185" s="30" t="s">
        <v>445</v>
      </c>
      <c r="G185" s="9" t="s">
        <v>24</v>
      </c>
      <c r="H185" s="20"/>
      <c r="I185" s="20" t="s">
        <v>317</v>
      </c>
      <c r="J185" s="21" t="s">
        <v>317</v>
      </c>
      <c r="K185" s="13" t="str">
        <f>_xlfn.XLOOKUP(D185,工作表2!A:A,工作表2!B:B)</f>
        <v>wrigAJEAAA4KoktJG0sUPh2pEDYtu0rA</v>
      </c>
    </row>
    <row r="186" ht="12.75" customHeight="1" spans="1:11">
      <c r="A186" s="9">
        <v>185</v>
      </c>
      <c r="B186" s="9" t="s">
        <v>112</v>
      </c>
      <c r="C186" s="9" t="s">
        <v>90</v>
      </c>
      <c r="D186" s="9" t="s">
        <v>325</v>
      </c>
      <c r="E186" s="9" t="s">
        <v>446</v>
      </c>
      <c r="F186" s="30" t="s">
        <v>447</v>
      </c>
      <c r="G186" s="9" t="s">
        <v>24</v>
      </c>
      <c r="H186" s="20"/>
      <c r="I186" s="20" t="s">
        <v>317</v>
      </c>
      <c r="J186" s="21" t="s">
        <v>317</v>
      </c>
      <c r="K186" s="13" t="str">
        <f>_xlfn.XLOOKUP(D186,工作表2!A:A,工作表2!B:B)</f>
        <v>wrigAJEAAA4KoktJG0sUPh2pEDYtu0rA</v>
      </c>
    </row>
    <row r="187" ht="12.75" customHeight="1" spans="1:11">
      <c r="A187" s="9">
        <v>186</v>
      </c>
      <c r="B187" s="9" t="s">
        <v>112</v>
      </c>
      <c r="C187" s="9" t="s">
        <v>90</v>
      </c>
      <c r="D187" s="9" t="s">
        <v>325</v>
      </c>
      <c r="E187" s="9" t="s">
        <v>448</v>
      </c>
      <c r="F187" s="30" t="s">
        <v>449</v>
      </c>
      <c r="G187" s="9" t="s">
        <v>24</v>
      </c>
      <c r="H187" s="20"/>
      <c r="I187" s="20" t="s">
        <v>317</v>
      </c>
      <c r="J187" s="21" t="s">
        <v>317</v>
      </c>
      <c r="K187" s="13" t="str">
        <f>_xlfn.XLOOKUP(D187,工作表2!A:A,工作表2!B:B)</f>
        <v>wrigAJEAAA4KoktJG0sUPh2pEDYtu0rA</v>
      </c>
    </row>
    <row r="188" ht="12.75" customHeight="1" spans="1:11">
      <c r="A188" s="9">
        <v>187</v>
      </c>
      <c r="B188" s="9" t="s">
        <v>112</v>
      </c>
      <c r="C188" s="9" t="s">
        <v>90</v>
      </c>
      <c r="D188" s="9" t="s">
        <v>325</v>
      </c>
      <c r="E188" s="9" t="s">
        <v>450</v>
      </c>
      <c r="F188" s="30" t="s">
        <v>451</v>
      </c>
      <c r="G188" s="9" t="s">
        <v>24</v>
      </c>
      <c r="H188" s="20"/>
      <c r="I188" s="20" t="s">
        <v>317</v>
      </c>
      <c r="J188" s="21" t="s">
        <v>317</v>
      </c>
      <c r="K188" s="13" t="str">
        <f>_xlfn.XLOOKUP(D188,工作表2!A:A,工作表2!B:B)</f>
        <v>wrigAJEAAA4KoktJG0sUPh2pEDYtu0rA</v>
      </c>
    </row>
    <row r="189" ht="12.75" customHeight="1" spans="1:11">
      <c r="A189" s="9">
        <v>188</v>
      </c>
      <c r="B189" s="9" t="s">
        <v>112</v>
      </c>
      <c r="C189" s="9" t="s">
        <v>90</v>
      </c>
      <c r="D189" s="9" t="s">
        <v>325</v>
      </c>
      <c r="E189" s="9" t="s">
        <v>452</v>
      </c>
      <c r="F189" s="30" t="s">
        <v>453</v>
      </c>
      <c r="G189" s="9" t="s">
        <v>24</v>
      </c>
      <c r="H189" s="20"/>
      <c r="I189" s="20" t="s">
        <v>317</v>
      </c>
      <c r="J189" s="21" t="s">
        <v>317</v>
      </c>
      <c r="K189" s="13" t="str">
        <f>_xlfn.XLOOKUP(D189,工作表2!A:A,工作表2!B:B)</f>
        <v>wrigAJEAAA4KoktJG0sUPh2pEDYtu0rA</v>
      </c>
    </row>
    <row r="190" ht="12.75" customHeight="1" spans="1:11">
      <c r="A190" s="9">
        <v>189</v>
      </c>
      <c r="B190" s="9" t="s">
        <v>112</v>
      </c>
      <c r="C190" s="9" t="s">
        <v>90</v>
      </c>
      <c r="D190" s="9" t="s">
        <v>325</v>
      </c>
      <c r="E190" s="9" t="s">
        <v>454</v>
      </c>
      <c r="F190" s="30" t="s">
        <v>455</v>
      </c>
      <c r="G190" s="9" t="s">
        <v>24</v>
      </c>
      <c r="H190" s="20"/>
      <c r="I190" s="20" t="s">
        <v>317</v>
      </c>
      <c r="J190" s="21" t="s">
        <v>317</v>
      </c>
      <c r="K190" s="13" t="str">
        <f>_xlfn.XLOOKUP(D190,工作表2!A:A,工作表2!B:B)</f>
        <v>wrigAJEAAA4KoktJG0sUPh2pEDYtu0rA</v>
      </c>
    </row>
    <row r="191" ht="12.75" customHeight="1" spans="1:11">
      <c r="A191" s="9">
        <v>190</v>
      </c>
      <c r="B191" s="9" t="s">
        <v>112</v>
      </c>
      <c r="C191" s="9" t="s">
        <v>90</v>
      </c>
      <c r="D191" s="9" t="s">
        <v>325</v>
      </c>
      <c r="E191" s="9" t="s">
        <v>456</v>
      </c>
      <c r="F191" s="30" t="s">
        <v>457</v>
      </c>
      <c r="G191" s="9" t="s">
        <v>24</v>
      </c>
      <c r="H191" s="20"/>
      <c r="I191" s="20" t="s">
        <v>317</v>
      </c>
      <c r="J191" s="21" t="s">
        <v>317</v>
      </c>
      <c r="K191" s="13" t="str">
        <f>_xlfn.XLOOKUP(D191,工作表2!A:A,工作表2!B:B)</f>
        <v>wrigAJEAAA4KoktJG0sUPh2pEDYtu0rA</v>
      </c>
    </row>
    <row r="192" ht="12.75" customHeight="1" spans="1:11">
      <c r="A192" s="9">
        <v>191</v>
      </c>
      <c r="B192" s="9" t="s">
        <v>112</v>
      </c>
      <c r="C192" s="9" t="s">
        <v>90</v>
      </c>
      <c r="D192" s="9" t="s">
        <v>458</v>
      </c>
      <c r="E192" s="9" t="s">
        <v>459</v>
      </c>
      <c r="F192" s="30" t="s">
        <v>460</v>
      </c>
      <c r="G192" s="9" t="s">
        <v>24</v>
      </c>
      <c r="H192" s="20"/>
      <c r="I192" s="20" t="s">
        <v>317</v>
      </c>
      <c r="J192" s="21" t="s">
        <v>317</v>
      </c>
      <c r="K192" s="13" t="str">
        <f>_xlfn.XLOOKUP(D192,工作表2!A:A,工作表2!B:B)</f>
        <v>wrigAJEAAAmIHTBGttLsnui1xFR8fhww</v>
      </c>
    </row>
    <row r="193" ht="12.75" customHeight="1" spans="1:11">
      <c r="A193" s="9">
        <v>192</v>
      </c>
      <c r="B193" s="9" t="s">
        <v>112</v>
      </c>
      <c r="C193" s="9" t="s">
        <v>90</v>
      </c>
      <c r="D193" s="9" t="s">
        <v>458</v>
      </c>
      <c r="E193" s="9" t="s">
        <v>461</v>
      </c>
      <c r="F193" s="30" t="s">
        <v>462</v>
      </c>
      <c r="G193" s="9" t="s">
        <v>24</v>
      </c>
      <c r="H193" s="20"/>
      <c r="I193" s="20" t="s">
        <v>317</v>
      </c>
      <c r="J193" s="21" t="s">
        <v>317</v>
      </c>
      <c r="K193" s="13" t="str">
        <f>_xlfn.XLOOKUP(D193,工作表2!A:A,工作表2!B:B)</f>
        <v>wrigAJEAAAmIHTBGttLsnui1xFR8fhww</v>
      </c>
    </row>
    <row r="194" ht="12.75" customHeight="1" spans="1:11">
      <c r="A194" s="9">
        <v>193</v>
      </c>
      <c r="B194" s="9" t="s">
        <v>112</v>
      </c>
      <c r="C194" s="9" t="s">
        <v>90</v>
      </c>
      <c r="D194" s="9" t="s">
        <v>458</v>
      </c>
      <c r="E194" s="9" t="s">
        <v>463</v>
      </c>
      <c r="F194" s="30" t="s">
        <v>464</v>
      </c>
      <c r="G194" s="9" t="s">
        <v>24</v>
      </c>
      <c r="H194" s="20"/>
      <c r="I194" s="20" t="s">
        <v>317</v>
      </c>
      <c r="J194" s="21" t="s">
        <v>317</v>
      </c>
      <c r="K194" s="13" t="str">
        <f>_xlfn.XLOOKUP(D194,工作表2!A:A,工作表2!B:B)</f>
        <v>wrigAJEAAAmIHTBGttLsnui1xFR8fhww</v>
      </c>
    </row>
    <row r="195" ht="12.75" customHeight="1" spans="1:11">
      <c r="A195" s="9">
        <v>194</v>
      </c>
      <c r="B195" s="9" t="s">
        <v>112</v>
      </c>
      <c r="C195" s="9" t="s">
        <v>90</v>
      </c>
      <c r="D195" s="9" t="s">
        <v>458</v>
      </c>
      <c r="E195" s="9" t="s">
        <v>465</v>
      </c>
      <c r="F195" s="30" t="s">
        <v>466</v>
      </c>
      <c r="G195" s="9" t="s">
        <v>24</v>
      </c>
      <c r="H195" s="20"/>
      <c r="I195" s="20" t="s">
        <v>317</v>
      </c>
      <c r="J195" s="21" t="s">
        <v>317</v>
      </c>
      <c r="K195" s="13" t="str">
        <f>_xlfn.XLOOKUP(D195,工作表2!A:A,工作表2!B:B)</f>
        <v>wrigAJEAAAmIHTBGttLsnui1xFR8fhww</v>
      </c>
    </row>
    <row r="196" ht="12.75" customHeight="1" spans="1:11">
      <c r="A196" s="9">
        <v>195</v>
      </c>
      <c r="B196" s="9" t="s">
        <v>112</v>
      </c>
      <c r="C196" s="9" t="s">
        <v>90</v>
      </c>
      <c r="D196" s="9" t="s">
        <v>458</v>
      </c>
      <c r="E196" s="9" t="s">
        <v>467</v>
      </c>
      <c r="F196" s="30" t="s">
        <v>468</v>
      </c>
      <c r="G196" s="9" t="s">
        <v>24</v>
      </c>
      <c r="H196" s="20"/>
      <c r="I196" s="20" t="s">
        <v>317</v>
      </c>
      <c r="J196" s="21" t="s">
        <v>317</v>
      </c>
      <c r="K196" s="13" t="str">
        <f>_xlfn.XLOOKUP(D196,工作表2!A:A,工作表2!B:B)</f>
        <v>wrigAJEAAAmIHTBGttLsnui1xFR8fhww</v>
      </c>
    </row>
    <row r="197" ht="12.75" customHeight="1" spans="1:11">
      <c r="A197" s="9">
        <v>196</v>
      </c>
      <c r="B197" s="9" t="s">
        <v>112</v>
      </c>
      <c r="C197" s="9" t="s">
        <v>90</v>
      </c>
      <c r="D197" s="9" t="s">
        <v>458</v>
      </c>
      <c r="E197" s="9" t="s">
        <v>469</v>
      </c>
      <c r="F197" s="30" t="s">
        <v>470</v>
      </c>
      <c r="G197" s="9" t="s">
        <v>24</v>
      </c>
      <c r="H197" s="20"/>
      <c r="I197" s="20" t="s">
        <v>317</v>
      </c>
      <c r="J197" s="21" t="s">
        <v>317</v>
      </c>
      <c r="K197" s="13" t="str">
        <f>_xlfn.XLOOKUP(D197,工作表2!A:A,工作表2!B:B)</f>
        <v>wrigAJEAAAmIHTBGttLsnui1xFR8fhww</v>
      </c>
    </row>
    <row r="198" ht="12.75" customHeight="1" spans="1:11">
      <c r="A198" s="9">
        <v>197</v>
      </c>
      <c r="B198" s="9" t="s">
        <v>112</v>
      </c>
      <c r="C198" s="9" t="s">
        <v>90</v>
      </c>
      <c r="D198" s="9" t="s">
        <v>458</v>
      </c>
      <c r="E198" s="9" t="s">
        <v>471</v>
      </c>
      <c r="F198" s="30" t="s">
        <v>472</v>
      </c>
      <c r="G198" s="9" t="s">
        <v>24</v>
      </c>
      <c r="H198" s="20"/>
      <c r="I198" s="20" t="s">
        <v>317</v>
      </c>
      <c r="J198" s="21" t="s">
        <v>317</v>
      </c>
      <c r="K198" s="13" t="str">
        <f>_xlfn.XLOOKUP(D198,工作表2!A:A,工作表2!B:B)</f>
        <v>wrigAJEAAAmIHTBGttLsnui1xFR8fhww</v>
      </c>
    </row>
    <row r="199" ht="12.75" customHeight="1" spans="1:11">
      <c r="A199" s="9">
        <v>198</v>
      </c>
      <c r="B199" s="9" t="s">
        <v>112</v>
      </c>
      <c r="C199" s="9" t="s">
        <v>90</v>
      </c>
      <c r="D199" s="9" t="s">
        <v>458</v>
      </c>
      <c r="E199" s="9" t="s">
        <v>473</v>
      </c>
      <c r="F199" s="30" t="s">
        <v>474</v>
      </c>
      <c r="G199" s="9" t="s">
        <v>24</v>
      </c>
      <c r="H199" s="20"/>
      <c r="I199" s="20" t="s">
        <v>317</v>
      </c>
      <c r="J199" s="21" t="s">
        <v>317</v>
      </c>
      <c r="K199" s="13" t="str">
        <f>_xlfn.XLOOKUP(D199,工作表2!A:A,工作表2!B:B)</f>
        <v>wrigAJEAAAmIHTBGttLsnui1xFR8fhww</v>
      </c>
    </row>
    <row r="200" ht="12.75" customHeight="1" spans="1:11">
      <c r="A200" s="9">
        <v>199</v>
      </c>
      <c r="B200" s="9" t="s">
        <v>112</v>
      </c>
      <c r="C200" s="9" t="s">
        <v>90</v>
      </c>
      <c r="D200" s="9" t="s">
        <v>458</v>
      </c>
      <c r="E200" s="9" t="s">
        <v>475</v>
      </c>
      <c r="F200" s="30" t="s">
        <v>476</v>
      </c>
      <c r="H200" s="20"/>
      <c r="I200" s="20" t="s">
        <v>317</v>
      </c>
      <c r="J200" s="21" t="s">
        <v>317</v>
      </c>
      <c r="K200" s="13" t="str">
        <f>_xlfn.XLOOKUP(D200,工作表2!A:A,工作表2!B:B)</f>
        <v>wrigAJEAAAmIHTBGttLsnui1xFR8fhww</v>
      </c>
    </row>
    <row r="201" ht="12.75" customHeight="1" spans="1:11">
      <c r="A201" s="9">
        <v>200</v>
      </c>
      <c r="B201" s="9" t="s">
        <v>112</v>
      </c>
      <c r="C201" s="9" t="s">
        <v>90</v>
      </c>
      <c r="D201" s="9" t="s">
        <v>458</v>
      </c>
      <c r="E201" s="9" t="s">
        <v>477</v>
      </c>
      <c r="F201" s="30" t="s">
        <v>478</v>
      </c>
      <c r="G201" s="9" t="s">
        <v>24</v>
      </c>
      <c r="H201" s="20"/>
      <c r="I201" s="20" t="s">
        <v>317</v>
      </c>
      <c r="J201" s="21" t="s">
        <v>317</v>
      </c>
      <c r="K201" s="13" t="str">
        <f>_xlfn.XLOOKUP(D201,工作表2!A:A,工作表2!B:B)</f>
        <v>wrigAJEAAAmIHTBGttLsnui1xFR8fhww</v>
      </c>
    </row>
    <row r="202" ht="12.75" customHeight="1" spans="1:11">
      <c r="A202" s="9">
        <v>201</v>
      </c>
      <c r="B202" s="9" t="s">
        <v>112</v>
      </c>
      <c r="C202" s="9" t="s">
        <v>90</v>
      </c>
      <c r="D202" s="9" t="s">
        <v>458</v>
      </c>
      <c r="E202" s="9" t="s">
        <v>479</v>
      </c>
      <c r="F202" s="30" t="s">
        <v>480</v>
      </c>
      <c r="G202" s="9" t="s">
        <v>24</v>
      </c>
      <c r="H202" s="20"/>
      <c r="I202" s="20" t="s">
        <v>317</v>
      </c>
      <c r="J202" s="21" t="s">
        <v>317</v>
      </c>
      <c r="K202" s="13" t="str">
        <f>_xlfn.XLOOKUP(D202,工作表2!A:A,工作表2!B:B)</f>
        <v>wrigAJEAAAmIHTBGttLsnui1xFR8fhww</v>
      </c>
    </row>
    <row r="203" ht="12.75" customHeight="1" spans="1:11">
      <c r="A203" s="9">
        <v>202</v>
      </c>
      <c r="B203" s="9" t="s">
        <v>112</v>
      </c>
      <c r="C203" s="9" t="s">
        <v>90</v>
      </c>
      <c r="D203" s="9" t="s">
        <v>458</v>
      </c>
      <c r="E203" s="9" t="s">
        <v>481</v>
      </c>
      <c r="F203" s="9" t="s">
        <v>24</v>
      </c>
      <c r="G203" s="9" t="s">
        <v>24</v>
      </c>
      <c r="H203" s="20"/>
      <c r="I203" s="20" t="s">
        <v>317</v>
      </c>
      <c r="J203" s="21" t="s">
        <v>317</v>
      </c>
      <c r="K203" s="13" t="str">
        <f>_xlfn.XLOOKUP(D203,工作表2!A:A,工作表2!B:B)</f>
        <v>wrigAJEAAAmIHTBGttLsnui1xFR8fhww</v>
      </c>
    </row>
    <row r="204" ht="12.75" customHeight="1" spans="1:11">
      <c r="A204" s="9">
        <v>203</v>
      </c>
      <c r="B204" s="9" t="s">
        <v>112</v>
      </c>
      <c r="C204" s="9" t="s">
        <v>90</v>
      </c>
      <c r="D204" s="9" t="s">
        <v>458</v>
      </c>
      <c r="E204" s="9" t="s">
        <v>482</v>
      </c>
      <c r="F204" s="30" t="s">
        <v>483</v>
      </c>
      <c r="G204" s="9" t="s">
        <v>24</v>
      </c>
      <c r="H204" s="20"/>
      <c r="I204" s="20" t="s">
        <v>317</v>
      </c>
      <c r="J204" s="21" t="s">
        <v>317</v>
      </c>
      <c r="K204" s="13" t="str">
        <f>_xlfn.XLOOKUP(D204,工作表2!A:A,工作表2!B:B)</f>
        <v>wrigAJEAAAmIHTBGttLsnui1xFR8fhww</v>
      </c>
    </row>
    <row r="205" ht="12.75" customHeight="1" spans="1:11">
      <c r="A205" s="9">
        <v>204</v>
      </c>
      <c r="B205" s="9" t="s">
        <v>112</v>
      </c>
      <c r="C205" s="9" t="s">
        <v>90</v>
      </c>
      <c r="D205" s="9" t="s">
        <v>458</v>
      </c>
      <c r="E205" s="9" t="s">
        <v>484</v>
      </c>
      <c r="F205" s="30" t="s">
        <v>485</v>
      </c>
      <c r="G205" s="9" t="s">
        <v>24</v>
      </c>
      <c r="H205" s="20"/>
      <c r="I205" s="20" t="s">
        <v>317</v>
      </c>
      <c r="J205" s="21" t="s">
        <v>317</v>
      </c>
      <c r="K205" s="13" t="str">
        <f>_xlfn.XLOOKUP(D205,工作表2!A:A,工作表2!B:B)</f>
        <v>wrigAJEAAAmIHTBGttLsnui1xFR8fhww</v>
      </c>
    </row>
    <row r="206" ht="12.75" customHeight="1" spans="1:11">
      <c r="A206" s="9">
        <v>205</v>
      </c>
      <c r="B206" s="9" t="s">
        <v>112</v>
      </c>
      <c r="C206" s="9" t="s">
        <v>90</v>
      </c>
      <c r="D206" s="9" t="s">
        <v>458</v>
      </c>
      <c r="E206" s="9" t="s">
        <v>486</v>
      </c>
      <c r="F206" s="30" t="s">
        <v>487</v>
      </c>
      <c r="G206" s="9" t="s">
        <v>24</v>
      </c>
      <c r="H206" s="20"/>
      <c r="I206" s="20" t="s">
        <v>317</v>
      </c>
      <c r="J206" s="21" t="s">
        <v>317</v>
      </c>
      <c r="K206" s="13" t="str">
        <f>_xlfn.XLOOKUP(D206,工作表2!A:A,工作表2!B:B)</f>
        <v>wrigAJEAAAmIHTBGttLsnui1xFR8fhww</v>
      </c>
    </row>
    <row r="207" ht="12.75" customHeight="1" spans="1:11">
      <c r="A207" s="9">
        <v>206</v>
      </c>
      <c r="B207" s="9" t="s">
        <v>112</v>
      </c>
      <c r="C207" s="9" t="s">
        <v>90</v>
      </c>
      <c r="D207" s="9" t="s">
        <v>458</v>
      </c>
      <c r="E207" s="9" t="s">
        <v>488</v>
      </c>
      <c r="F207" s="30" t="s">
        <v>489</v>
      </c>
      <c r="G207" s="9" t="s">
        <v>24</v>
      </c>
      <c r="H207" s="20"/>
      <c r="I207" s="20" t="s">
        <v>317</v>
      </c>
      <c r="J207" s="21" t="s">
        <v>317</v>
      </c>
      <c r="K207" s="13" t="str">
        <f>_xlfn.XLOOKUP(D207,工作表2!A:A,工作表2!B:B)</f>
        <v>wrigAJEAAAmIHTBGttLsnui1xFR8fhww</v>
      </c>
    </row>
    <row r="208" ht="12.75" customHeight="1" spans="1:11">
      <c r="A208" s="9">
        <v>207</v>
      </c>
      <c r="B208" s="9" t="s">
        <v>112</v>
      </c>
      <c r="C208" s="9" t="s">
        <v>90</v>
      </c>
      <c r="D208" s="9" t="s">
        <v>458</v>
      </c>
      <c r="E208" s="9" t="s">
        <v>490</v>
      </c>
      <c r="F208" s="30" t="s">
        <v>491</v>
      </c>
      <c r="G208" s="9" t="s">
        <v>24</v>
      </c>
      <c r="H208" s="20"/>
      <c r="I208" s="20" t="s">
        <v>317</v>
      </c>
      <c r="J208" s="21" t="s">
        <v>317</v>
      </c>
      <c r="K208" s="13" t="str">
        <f>_xlfn.XLOOKUP(D208,工作表2!A:A,工作表2!B:B)</f>
        <v>wrigAJEAAAmIHTBGttLsnui1xFR8fhww</v>
      </c>
    </row>
    <row r="209" ht="12.75" customHeight="1" spans="1:12">
      <c r="A209" s="9">
        <v>208</v>
      </c>
      <c r="B209" s="9" t="s">
        <v>112</v>
      </c>
      <c r="C209" s="9" t="s">
        <v>90</v>
      </c>
      <c r="D209" s="9" t="s">
        <v>458</v>
      </c>
      <c r="E209" s="9" t="s">
        <v>492</v>
      </c>
      <c r="F209" s="30" t="s">
        <v>493</v>
      </c>
      <c r="G209" s="9" t="s">
        <v>24</v>
      </c>
      <c r="H209" s="20"/>
      <c r="I209" s="20" t="s">
        <v>317</v>
      </c>
      <c r="J209" s="21" t="s">
        <v>317</v>
      </c>
      <c r="K209" s="13" t="str">
        <f>_xlfn.XLOOKUP(D209,工作表2!A:A,工作表2!B:B)</f>
        <v>wrigAJEAAAmIHTBGttLsnui1xFR8fhww</v>
      </c>
    </row>
    <row r="210" ht="12.75" customHeight="1" spans="1:12">
      <c r="A210" s="9">
        <v>209</v>
      </c>
      <c r="B210" s="9" t="s">
        <v>112</v>
      </c>
      <c r="C210" s="9" t="s">
        <v>90</v>
      </c>
      <c r="D210" s="9" t="s">
        <v>458</v>
      </c>
      <c r="E210" s="9" t="s">
        <v>494</v>
      </c>
      <c r="F210" s="30" t="s">
        <v>495</v>
      </c>
      <c r="G210" s="9" t="s">
        <v>24</v>
      </c>
      <c r="H210" s="20"/>
      <c r="I210" s="20" t="s">
        <v>317</v>
      </c>
      <c r="J210" s="21" t="s">
        <v>317</v>
      </c>
      <c r="K210" s="13" t="str">
        <f>_xlfn.XLOOKUP(D210,工作表2!A:A,工作表2!B:B)</f>
        <v>wrigAJEAAAmIHTBGttLsnui1xFR8fhww</v>
      </c>
    </row>
    <row r="211" ht="12.75" customHeight="1" spans="1:12">
      <c r="A211" s="9">
        <v>210</v>
      </c>
      <c r="B211" s="9" t="s">
        <v>112</v>
      </c>
      <c r="C211" s="9" t="s">
        <v>90</v>
      </c>
      <c r="D211" s="9" t="s">
        <v>458</v>
      </c>
      <c r="E211" s="9" t="s">
        <v>496</v>
      </c>
      <c r="F211" s="30" t="s">
        <v>497</v>
      </c>
      <c r="G211" s="9" t="s">
        <v>24</v>
      </c>
      <c r="H211" s="20"/>
      <c r="I211" s="20" t="s">
        <v>317</v>
      </c>
      <c r="J211" s="21" t="s">
        <v>317</v>
      </c>
      <c r="K211" s="13" t="str">
        <f>_xlfn.XLOOKUP(D211,工作表2!A:A,工作表2!B:B)</f>
        <v>wrigAJEAAAmIHTBGttLsnui1xFR8fhww</v>
      </c>
    </row>
    <row r="212" ht="12.75" customHeight="1" spans="1:12">
      <c r="A212" s="9">
        <v>211</v>
      </c>
      <c r="B212" s="9" t="s">
        <v>112</v>
      </c>
      <c r="C212" s="9" t="s">
        <v>90</v>
      </c>
      <c r="D212" s="9" t="s">
        <v>458</v>
      </c>
      <c r="E212" s="9" t="s">
        <v>498</v>
      </c>
      <c r="F212" s="30" t="s">
        <v>499</v>
      </c>
      <c r="G212" s="9" t="s">
        <v>24</v>
      </c>
      <c r="H212" s="20"/>
      <c r="I212" s="20" t="s">
        <v>317</v>
      </c>
      <c r="J212" s="21" t="s">
        <v>317</v>
      </c>
      <c r="K212" s="13" t="str">
        <f>_xlfn.XLOOKUP(D212,工作表2!A:A,工作表2!B:B)</f>
        <v>wrigAJEAAAmIHTBGttLsnui1xFR8fhww</v>
      </c>
    </row>
    <row r="213" ht="12.75" customHeight="1" spans="1:12">
      <c r="A213" s="9">
        <v>212</v>
      </c>
      <c r="B213" s="9" t="s">
        <v>89</v>
      </c>
      <c r="C213" s="9" t="s">
        <v>90</v>
      </c>
      <c r="D213" s="9" t="s">
        <v>309</v>
      </c>
      <c r="E213" s="9" t="s">
        <v>500</v>
      </c>
      <c r="F213" s="9" t="s">
        <v>501</v>
      </c>
      <c r="G213" s="9" t="s">
        <v>502</v>
      </c>
      <c r="H213" s="20"/>
      <c r="I213" s="20" t="s">
        <v>317</v>
      </c>
      <c r="J213" s="21" t="s">
        <v>317</v>
      </c>
      <c r="K213" s="13" t="str">
        <f>_xlfn.XLOOKUP(D213,工作表2!A:A,工作表2!B:B)</f>
        <v>wrigAJEAAAe2NsHQAkhgbX1oY65LY8xw</v>
      </c>
      <c r="L213" s="13" t="s">
        <v>503</v>
      </c>
    </row>
    <row r="214" ht="12.75" customHeight="1" spans="1:12">
      <c r="A214" s="9">
        <v>213</v>
      </c>
      <c r="B214" s="9" t="s">
        <v>89</v>
      </c>
      <c r="C214" s="9" t="s">
        <v>90</v>
      </c>
      <c r="D214" s="9" t="s">
        <v>309</v>
      </c>
      <c r="E214" s="9" t="s">
        <v>504</v>
      </c>
      <c r="F214" s="9" t="s">
        <v>505</v>
      </c>
      <c r="G214" s="9" t="s">
        <v>502</v>
      </c>
      <c r="H214" s="20"/>
      <c r="I214" s="20" t="s">
        <v>317</v>
      </c>
      <c r="J214" s="21" t="s">
        <v>317</v>
      </c>
      <c r="K214" s="13" t="str">
        <f>_xlfn.XLOOKUP(D214,工作表2!A:A,工作表2!B:B)</f>
        <v>wrigAJEAAAe2NsHQAkhgbX1oY65LY8xw</v>
      </c>
      <c r="L214" s="13" t="s">
        <v>26</v>
      </c>
    </row>
    <row r="215" ht="12.75" customHeight="1" spans="1:12">
      <c r="A215" s="9">
        <v>214</v>
      </c>
      <c r="B215" s="9" t="s">
        <v>89</v>
      </c>
      <c r="C215" s="9" t="s">
        <v>90</v>
      </c>
      <c r="D215" s="9" t="s">
        <v>309</v>
      </c>
      <c r="E215" s="9" t="s">
        <v>310</v>
      </c>
      <c r="F215" s="9" t="s">
        <v>506</v>
      </c>
      <c r="G215" s="9" t="s">
        <v>502</v>
      </c>
      <c r="H215" s="20"/>
      <c r="I215" s="20" t="s">
        <v>317</v>
      </c>
      <c r="J215" s="21" t="s">
        <v>317</v>
      </c>
      <c r="K215" s="13" t="str">
        <f>_xlfn.XLOOKUP(D215,工作表2!A:A,工作表2!B:B)</f>
        <v>wrigAJEAAAe2NsHQAkhgbX1oY65LY8xw</v>
      </c>
      <c r="L215" s="13" t="s">
        <v>26</v>
      </c>
    </row>
    <row r="216" ht="12.75" customHeight="1" spans="1:12">
      <c r="A216" s="9">
        <v>215</v>
      </c>
      <c r="B216" s="9" t="s">
        <v>11</v>
      </c>
      <c r="C216" s="9" t="s">
        <v>12</v>
      </c>
      <c r="D216" s="9" t="s">
        <v>507</v>
      </c>
      <c r="E216" s="9" t="s">
        <v>508</v>
      </c>
      <c r="F216" s="9" t="s">
        <v>509</v>
      </c>
      <c r="G216" s="9" t="s">
        <v>502</v>
      </c>
      <c r="H216" s="20"/>
      <c r="I216" s="20" t="s">
        <v>510</v>
      </c>
      <c r="J216" s="21" t="s">
        <v>510</v>
      </c>
      <c r="K216" s="13" t="str">
        <f>_xlfn.XLOOKUP(D216,工作表2!A:A,工作表2!B:B)</f>
        <v>wrigAJEAAA04CQ4uoxOKOtE0w5vZ3dCA</v>
      </c>
    </row>
    <row r="217" ht="12.75" customHeight="1" spans="1:12">
      <c r="A217" s="9">
        <v>216</v>
      </c>
      <c r="B217" s="9" t="s">
        <v>11</v>
      </c>
      <c r="C217" s="9" t="s">
        <v>12</v>
      </c>
      <c r="D217" s="9" t="s">
        <v>507</v>
      </c>
      <c r="E217" s="9" t="s">
        <v>511</v>
      </c>
      <c r="F217" s="9" t="s">
        <v>512</v>
      </c>
      <c r="G217" s="9" t="s">
        <v>502</v>
      </c>
      <c r="H217" s="20"/>
      <c r="I217" s="20" t="s">
        <v>510</v>
      </c>
      <c r="J217" s="21" t="s">
        <v>510</v>
      </c>
      <c r="K217" s="13" t="str">
        <f>_xlfn.XLOOKUP(D217,工作表2!A:A,工作表2!B:B)</f>
        <v>wrigAJEAAA04CQ4uoxOKOtE0w5vZ3dCA</v>
      </c>
    </row>
    <row r="218" ht="12.75" customHeight="1" spans="1:12">
      <c r="A218" s="9">
        <v>217</v>
      </c>
      <c r="B218" s="9" t="s">
        <v>81</v>
      </c>
      <c r="C218" s="9" t="s">
        <v>82</v>
      </c>
      <c r="D218" s="9" t="s">
        <v>513</v>
      </c>
      <c r="E218" s="9" t="s">
        <v>514</v>
      </c>
      <c r="F218" s="9" t="s">
        <v>515</v>
      </c>
      <c r="G218" s="9" t="s">
        <v>24</v>
      </c>
      <c r="H218" s="20"/>
      <c r="I218" s="20"/>
      <c r="J218" s="21" t="s">
        <v>510</v>
      </c>
      <c r="K218" s="13" t="str">
        <f>_xlfn.XLOOKUP(D218,工作表2!A:A,工作表2!B:B)</f>
        <v>wrigAJEAAAvhBRbYXHeWXOqwEPX0ZMPQ</v>
      </c>
    </row>
    <row r="219" ht="12.75" customHeight="1" spans="1:12">
      <c r="A219" s="9">
        <v>218</v>
      </c>
      <c r="B219" s="9" t="s">
        <v>81</v>
      </c>
      <c r="C219" s="9" t="s">
        <v>82</v>
      </c>
      <c r="D219" s="9" t="s">
        <v>513</v>
      </c>
      <c r="E219" s="9" t="s">
        <v>516</v>
      </c>
      <c r="F219" s="9" t="s">
        <v>517</v>
      </c>
      <c r="G219" s="9" t="s">
        <v>24</v>
      </c>
      <c r="H219" s="20"/>
      <c r="I219" s="20"/>
      <c r="J219" s="21" t="s">
        <v>510</v>
      </c>
      <c r="K219" s="13" t="str">
        <f>_xlfn.XLOOKUP(D219,工作表2!A:A,工作表2!B:B)</f>
        <v>wrigAJEAAAvhBRbYXHeWXOqwEPX0ZMPQ</v>
      </c>
    </row>
    <row r="220" ht="12.75" customHeight="1" spans="1:12">
      <c r="A220" s="9">
        <v>219</v>
      </c>
      <c r="B220" s="9" t="s">
        <v>81</v>
      </c>
      <c r="C220" s="9" t="s">
        <v>82</v>
      </c>
      <c r="D220" s="9" t="s">
        <v>513</v>
      </c>
      <c r="E220" s="24" t="s">
        <v>518</v>
      </c>
      <c r="F220" s="9" t="s">
        <v>519</v>
      </c>
      <c r="G220" s="9" t="s">
        <v>24</v>
      </c>
      <c r="H220" s="20"/>
      <c r="I220" s="20"/>
      <c r="J220" s="21" t="s">
        <v>510</v>
      </c>
      <c r="K220" s="13" t="str">
        <f>_xlfn.XLOOKUP(D220,工作表2!A:A,工作表2!B:B)</f>
        <v>wrigAJEAAAvhBRbYXHeWXOqwEPX0ZMPQ</v>
      </c>
    </row>
    <row r="221" ht="12.75" customHeight="1" spans="1:12">
      <c r="A221" s="9">
        <v>220</v>
      </c>
      <c r="B221" s="9" t="s">
        <v>89</v>
      </c>
      <c r="C221" s="9" t="s">
        <v>90</v>
      </c>
      <c r="D221" s="9" t="s">
        <v>520</v>
      </c>
      <c r="E221" s="9" t="s">
        <v>500</v>
      </c>
      <c r="F221" s="9" t="s">
        <v>501</v>
      </c>
      <c r="G221" s="9" t="s">
        <v>521</v>
      </c>
      <c r="H221" s="20"/>
      <c r="I221" s="20"/>
      <c r="J221" s="21" t="s">
        <v>510</v>
      </c>
      <c r="K221" s="13" t="str">
        <f>_xlfn.XLOOKUP(D221,工作表2!A:A,工作表2!B:B)</f>
        <v>wrigAJEAAAJKty-JTFLW9itAbZ_go0UQ</v>
      </c>
    </row>
    <row r="222" ht="12.75" customHeight="1" spans="1:12">
      <c r="A222" s="9">
        <v>221</v>
      </c>
      <c r="B222" s="9" t="s">
        <v>89</v>
      </c>
      <c r="C222" s="9" t="s">
        <v>90</v>
      </c>
      <c r="D222" s="9" t="s">
        <v>520</v>
      </c>
      <c r="E222" s="9" t="s">
        <v>504</v>
      </c>
      <c r="F222" s="9" t="s">
        <v>505</v>
      </c>
      <c r="G222" s="9" t="s">
        <v>521</v>
      </c>
      <c r="H222" s="20"/>
      <c r="I222" s="20"/>
      <c r="J222" s="21" t="s">
        <v>510</v>
      </c>
      <c r="K222" s="13" t="str">
        <f>_xlfn.XLOOKUP(D222,工作表2!A:A,工作表2!B:B)</f>
        <v>wrigAJEAAAJKty-JTFLW9itAbZ_go0UQ</v>
      </c>
    </row>
    <row r="223" ht="12.75" customHeight="1" spans="1:12">
      <c r="A223" s="9">
        <v>222</v>
      </c>
      <c r="B223" s="9" t="s">
        <v>89</v>
      </c>
      <c r="C223" s="9" t="s">
        <v>90</v>
      </c>
      <c r="D223" s="9" t="s">
        <v>520</v>
      </c>
      <c r="E223" s="9" t="s">
        <v>310</v>
      </c>
      <c r="F223" s="9" t="s">
        <v>506</v>
      </c>
      <c r="G223" s="9" t="s">
        <v>521</v>
      </c>
      <c r="H223" s="20"/>
      <c r="I223" s="20"/>
      <c r="J223" s="21" t="s">
        <v>510</v>
      </c>
      <c r="K223" s="13" t="str">
        <f>_xlfn.XLOOKUP(D223,工作表2!A:A,工作表2!B:B)</f>
        <v>wrigAJEAAAJKty-JTFLW9itAbZ_go0UQ</v>
      </c>
    </row>
    <row r="224" ht="12.75" customHeight="1" spans="1:12">
      <c r="A224" s="9">
        <v>223</v>
      </c>
      <c r="B224" s="9" t="s">
        <v>19</v>
      </c>
      <c r="C224" s="9" t="s">
        <v>522</v>
      </c>
      <c r="D224" s="9" t="s">
        <v>523</v>
      </c>
      <c r="E224" s="9" t="s">
        <v>524</v>
      </c>
      <c r="F224" s="9" t="s">
        <v>525</v>
      </c>
      <c r="G224" s="9" t="s">
        <v>24</v>
      </c>
      <c r="H224" s="20"/>
      <c r="I224" s="20"/>
      <c r="J224" s="21" t="s">
        <v>510</v>
      </c>
      <c r="K224" s="13" t="str">
        <f>_xlfn.XLOOKUP(D224,工作表2!A:A,工作表2!B:B)</f>
        <v>wrigAJEAAAKq5B_6tfwEuczD50tOSPfQ</v>
      </c>
    </row>
    <row r="225" ht="12.75" customHeight="1" spans="1:11">
      <c r="A225" s="9">
        <v>224</v>
      </c>
      <c r="B225" s="9" t="s">
        <v>19</v>
      </c>
      <c r="C225" s="9" t="s">
        <v>522</v>
      </c>
      <c r="D225" s="9" t="s">
        <v>523</v>
      </c>
      <c r="E225" s="24" t="s">
        <v>526</v>
      </c>
      <c r="F225" s="9" t="s">
        <v>527</v>
      </c>
      <c r="G225" s="9" t="s">
        <v>24</v>
      </c>
      <c r="H225" s="20"/>
      <c r="I225" s="20"/>
      <c r="J225" s="21" t="s">
        <v>510</v>
      </c>
      <c r="K225" s="13" t="str">
        <f>_xlfn.XLOOKUP(D225,工作表2!A:A,工作表2!B:B)</f>
        <v>wrigAJEAAAKq5B_6tfwEuczD50tOSPfQ</v>
      </c>
    </row>
    <row r="226" ht="12.75" customHeight="1" spans="1:11">
      <c r="A226" s="9">
        <v>225</v>
      </c>
      <c r="B226" s="9" t="s">
        <v>19</v>
      </c>
      <c r="C226" s="9" t="s">
        <v>522</v>
      </c>
      <c r="D226" s="9" t="s">
        <v>523</v>
      </c>
      <c r="E226" s="24" t="s">
        <v>528</v>
      </c>
      <c r="F226" s="9" t="s">
        <v>529</v>
      </c>
      <c r="G226" s="9" t="s">
        <v>24</v>
      </c>
      <c r="H226" s="20"/>
      <c r="I226" s="20"/>
      <c r="J226" s="21" t="s">
        <v>510</v>
      </c>
      <c r="K226" s="13" t="str">
        <f>_xlfn.XLOOKUP(D226,工作表2!A:A,工作表2!B:B)</f>
        <v>wrigAJEAAAKq5B_6tfwEuczD50tOSPfQ</v>
      </c>
    </row>
    <row r="227" ht="12.75" customHeight="1" spans="1:11">
      <c r="A227" s="9">
        <v>226</v>
      </c>
      <c r="B227" s="9" t="s">
        <v>19</v>
      </c>
      <c r="C227" s="9" t="s">
        <v>522</v>
      </c>
      <c r="D227" s="9" t="s">
        <v>523</v>
      </c>
      <c r="E227" s="24" t="s">
        <v>530</v>
      </c>
      <c r="F227" s="9" t="s">
        <v>531</v>
      </c>
      <c r="G227" s="9" t="s">
        <v>24</v>
      </c>
      <c r="H227" s="20"/>
      <c r="I227" s="20"/>
      <c r="J227" s="21" t="s">
        <v>510</v>
      </c>
      <c r="K227" s="13" t="str">
        <f>_xlfn.XLOOKUP(D227,工作表2!A:A,工作表2!B:B)</f>
        <v>wrigAJEAAAKq5B_6tfwEuczD50tOSPfQ</v>
      </c>
    </row>
    <row r="228" ht="12.75" customHeight="1" spans="1:11">
      <c r="A228" s="9">
        <v>227</v>
      </c>
      <c r="B228" s="9" t="s">
        <v>19</v>
      </c>
      <c r="C228" s="9" t="s">
        <v>522</v>
      </c>
      <c r="D228" s="9" t="s">
        <v>523</v>
      </c>
      <c r="E228" s="24" t="s">
        <v>532</v>
      </c>
      <c r="F228" s="9" t="s">
        <v>533</v>
      </c>
      <c r="G228" s="9" t="s">
        <v>24</v>
      </c>
      <c r="H228" s="20"/>
      <c r="I228" s="20"/>
      <c r="J228" s="21" t="s">
        <v>510</v>
      </c>
      <c r="K228" s="13" t="str">
        <f>_xlfn.XLOOKUP(D228,工作表2!A:A,工作表2!B:B)</f>
        <v>wrigAJEAAAKq5B_6tfwEuczD50tOSPfQ</v>
      </c>
    </row>
    <row r="229" ht="12.75" customHeight="1" spans="1:11">
      <c r="A229" s="9">
        <v>228</v>
      </c>
      <c r="B229" s="9" t="s">
        <v>19</v>
      </c>
      <c r="C229" s="9" t="s">
        <v>522</v>
      </c>
      <c r="D229" s="9" t="s">
        <v>523</v>
      </c>
      <c r="E229" s="24" t="s">
        <v>534</v>
      </c>
      <c r="F229" s="9" t="s">
        <v>535</v>
      </c>
      <c r="G229" s="9" t="s">
        <v>24</v>
      </c>
      <c r="H229" s="20"/>
      <c r="I229" s="20"/>
      <c r="J229" s="21" t="s">
        <v>510</v>
      </c>
      <c r="K229" s="13" t="str">
        <f>_xlfn.XLOOKUP(D229,工作表2!A:A,工作表2!B:B)</f>
        <v>wrigAJEAAAKq5B_6tfwEuczD50tOSPfQ</v>
      </c>
    </row>
    <row r="230" ht="12.75" customHeight="1" spans="1:11">
      <c r="A230" s="9">
        <v>229</v>
      </c>
      <c r="B230" s="9" t="s">
        <v>19</v>
      </c>
      <c r="C230" s="9" t="s">
        <v>522</v>
      </c>
      <c r="D230" s="9" t="s">
        <v>523</v>
      </c>
      <c r="E230" s="24" t="s">
        <v>536</v>
      </c>
      <c r="F230" s="9" t="s">
        <v>537</v>
      </c>
      <c r="G230" s="9" t="s">
        <v>24</v>
      </c>
      <c r="H230" s="20"/>
      <c r="I230" s="20"/>
      <c r="J230" s="21" t="s">
        <v>510</v>
      </c>
      <c r="K230" s="13" t="str">
        <f>_xlfn.XLOOKUP(D230,工作表2!A:A,工作表2!B:B)</f>
        <v>wrigAJEAAAKq5B_6tfwEuczD50tOSPfQ</v>
      </c>
    </row>
    <row r="231" ht="12.75" customHeight="1" spans="1:11">
      <c r="A231" s="9">
        <v>230</v>
      </c>
      <c r="B231" s="9" t="s">
        <v>19</v>
      </c>
      <c r="C231" s="9" t="s">
        <v>522</v>
      </c>
      <c r="D231" s="9" t="s">
        <v>523</v>
      </c>
      <c r="E231" s="24" t="s">
        <v>538</v>
      </c>
      <c r="F231" s="9" t="s">
        <v>539</v>
      </c>
      <c r="G231" s="9" t="s">
        <v>24</v>
      </c>
      <c r="H231" s="20"/>
      <c r="I231" s="20"/>
      <c r="J231" s="21" t="s">
        <v>510</v>
      </c>
      <c r="K231" s="13" t="str">
        <f>_xlfn.XLOOKUP(D231,工作表2!A:A,工作表2!B:B)</f>
        <v>wrigAJEAAAKq5B_6tfwEuczD50tOSPfQ</v>
      </c>
    </row>
    <row r="232" ht="12.75" customHeight="1" spans="1:11">
      <c r="A232" s="9">
        <v>231</v>
      </c>
      <c r="B232" s="9" t="s">
        <v>19</v>
      </c>
      <c r="C232" s="9" t="s">
        <v>522</v>
      </c>
      <c r="D232" s="9" t="s">
        <v>523</v>
      </c>
      <c r="E232" s="24" t="s">
        <v>540</v>
      </c>
      <c r="F232" s="9" t="s">
        <v>541</v>
      </c>
      <c r="G232" s="9" t="s">
        <v>24</v>
      </c>
      <c r="H232" s="20"/>
      <c r="I232" s="20"/>
      <c r="J232" s="21" t="s">
        <v>510</v>
      </c>
      <c r="K232" s="13" t="str">
        <f>_xlfn.XLOOKUP(D232,工作表2!A:A,工作表2!B:B)</f>
        <v>wrigAJEAAAKq5B_6tfwEuczD50tOSPfQ</v>
      </c>
    </row>
    <row r="233" ht="12.75" customHeight="1" spans="1:11">
      <c r="A233" s="9">
        <v>232</v>
      </c>
      <c r="B233" s="9" t="s">
        <v>19</v>
      </c>
      <c r="C233" s="9" t="s">
        <v>522</v>
      </c>
      <c r="D233" s="9" t="s">
        <v>523</v>
      </c>
      <c r="E233" s="9" t="s">
        <v>542</v>
      </c>
      <c r="F233" s="9" t="s">
        <v>543</v>
      </c>
      <c r="G233" s="9" t="s">
        <v>24</v>
      </c>
      <c r="H233" s="20"/>
      <c r="I233" s="20"/>
      <c r="J233" s="21" t="s">
        <v>510</v>
      </c>
      <c r="K233" s="13" t="str">
        <f>_xlfn.XLOOKUP(D233,工作表2!A:A,工作表2!B:B)</f>
        <v>wrigAJEAAAKq5B_6tfwEuczD50tOSPfQ</v>
      </c>
    </row>
    <row r="234" ht="12.75" customHeight="1" spans="1:11">
      <c r="A234" s="9">
        <v>233</v>
      </c>
      <c r="B234" s="9" t="s">
        <v>19</v>
      </c>
      <c r="C234" s="9" t="s">
        <v>522</v>
      </c>
      <c r="D234" s="9" t="s">
        <v>523</v>
      </c>
      <c r="E234" s="9" t="s">
        <v>544</v>
      </c>
      <c r="F234" s="9" t="s">
        <v>545</v>
      </c>
      <c r="G234" s="9" t="s">
        <v>24</v>
      </c>
      <c r="H234" s="20"/>
      <c r="I234" s="20"/>
      <c r="J234" s="21" t="s">
        <v>510</v>
      </c>
      <c r="K234" s="13" t="str">
        <f>_xlfn.XLOOKUP(D234,工作表2!A:A,工作表2!B:B)</f>
        <v>wrigAJEAAAKq5B_6tfwEuczD50tOSPfQ</v>
      </c>
    </row>
    <row r="235" ht="12.75" customHeight="1" spans="1:11">
      <c r="A235" s="9">
        <v>234</v>
      </c>
      <c r="B235" s="9" t="s">
        <v>19</v>
      </c>
      <c r="C235" s="9" t="s">
        <v>522</v>
      </c>
      <c r="D235" s="9" t="s">
        <v>523</v>
      </c>
      <c r="E235" s="9" t="s">
        <v>546</v>
      </c>
      <c r="F235" s="9" t="s">
        <v>547</v>
      </c>
      <c r="G235" s="9" t="s">
        <v>24</v>
      </c>
      <c r="H235" s="20"/>
      <c r="I235" s="20"/>
      <c r="J235" s="21" t="s">
        <v>510</v>
      </c>
      <c r="K235" s="13" t="str">
        <f>_xlfn.XLOOKUP(D235,工作表2!A:A,工作表2!B:B)</f>
        <v>wrigAJEAAAKq5B_6tfwEuczD50tOSPfQ</v>
      </c>
    </row>
    <row r="236" ht="12.75" customHeight="1" spans="1:11">
      <c r="A236" s="9">
        <v>235</v>
      </c>
      <c r="B236" s="9" t="s">
        <v>19</v>
      </c>
      <c r="C236" s="9" t="s">
        <v>522</v>
      </c>
      <c r="D236" s="9" t="s">
        <v>523</v>
      </c>
      <c r="E236" s="9" t="s">
        <v>548</v>
      </c>
      <c r="F236" s="9" t="s">
        <v>549</v>
      </c>
      <c r="G236" s="9" t="s">
        <v>24</v>
      </c>
      <c r="H236" s="20"/>
      <c r="I236" s="20"/>
      <c r="J236" s="21" t="s">
        <v>510</v>
      </c>
      <c r="K236" s="13" t="str">
        <f>_xlfn.XLOOKUP(D236,工作表2!A:A,工作表2!B:B)</f>
        <v>wrigAJEAAAKq5B_6tfwEuczD50tOSPfQ</v>
      </c>
    </row>
    <row r="237" ht="12.75" customHeight="1" spans="1:11">
      <c r="A237" s="9">
        <v>236</v>
      </c>
      <c r="B237" s="9" t="s">
        <v>19</v>
      </c>
      <c r="C237" s="9" t="s">
        <v>522</v>
      </c>
      <c r="D237" s="9" t="s">
        <v>523</v>
      </c>
      <c r="E237" s="9" t="s">
        <v>550</v>
      </c>
      <c r="F237" s="9" t="s">
        <v>551</v>
      </c>
      <c r="G237" s="9" t="s">
        <v>24</v>
      </c>
      <c r="H237" s="20"/>
      <c r="I237" s="20"/>
      <c r="J237" s="21" t="s">
        <v>510</v>
      </c>
      <c r="K237" s="13" t="str">
        <f>_xlfn.XLOOKUP(D237,工作表2!A:A,工作表2!B:B)</f>
        <v>wrigAJEAAAKq5B_6tfwEuczD50tOSPfQ</v>
      </c>
    </row>
    <row r="238" ht="12.75" customHeight="1" spans="1:11">
      <c r="A238" s="9">
        <v>237</v>
      </c>
      <c r="B238" s="9" t="s">
        <v>19</v>
      </c>
      <c r="C238" s="9" t="s">
        <v>522</v>
      </c>
      <c r="D238" s="9" t="s">
        <v>523</v>
      </c>
      <c r="E238" s="9" t="s">
        <v>552</v>
      </c>
      <c r="F238" s="9" t="s">
        <v>553</v>
      </c>
      <c r="G238" s="9" t="s">
        <v>24</v>
      </c>
      <c r="H238" s="20"/>
      <c r="I238" s="20"/>
      <c r="J238" s="21" t="s">
        <v>510</v>
      </c>
      <c r="K238" s="13" t="str">
        <f>_xlfn.XLOOKUP(D238,工作表2!A:A,工作表2!B:B)</f>
        <v>wrigAJEAAAKq5B_6tfwEuczD50tOSPfQ</v>
      </c>
    </row>
    <row r="239" ht="12.75" customHeight="1" spans="1:11">
      <c r="A239" s="9">
        <v>238</v>
      </c>
      <c r="B239" s="9" t="s">
        <v>19</v>
      </c>
      <c r="C239" s="9" t="s">
        <v>522</v>
      </c>
      <c r="D239" s="9" t="s">
        <v>523</v>
      </c>
      <c r="E239" s="9" t="s">
        <v>554</v>
      </c>
      <c r="F239" s="9" t="s">
        <v>555</v>
      </c>
      <c r="G239" s="9" t="s">
        <v>24</v>
      </c>
      <c r="H239" s="20"/>
      <c r="I239" s="20"/>
      <c r="J239" s="21" t="s">
        <v>510</v>
      </c>
      <c r="K239" s="13" t="str">
        <f>_xlfn.XLOOKUP(D239,工作表2!A:A,工作表2!B:B)</f>
        <v>wrigAJEAAAKq5B_6tfwEuczD50tOSPfQ</v>
      </c>
    </row>
    <row r="240" ht="12.75" customHeight="1" spans="1:11">
      <c r="A240" s="9">
        <v>239</v>
      </c>
      <c r="B240" s="9" t="s">
        <v>19</v>
      </c>
      <c r="C240" s="9" t="s">
        <v>522</v>
      </c>
      <c r="D240" s="9" t="s">
        <v>523</v>
      </c>
      <c r="E240" s="9" t="s">
        <v>556</v>
      </c>
      <c r="F240" s="9" t="s">
        <v>557</v>
      </c>
      <c r="G240" s="9" t="s">
        <v>24</v>
      </c>
      <c r="H240" s="20"/>
      <c r="I240" s="20"/>
      <c r="J240" s="21" t="s">
        <v>510</v>
      </c>
      <c r="K240" s="13" t="str">
        <f>_xlfn.XLOOKUP(D240,工作表2!A:A,工作表2!B:B)</f>
        <v>wrigAJEAAAKq5B_6tfwEuczD50tOSPfQ</v>
      </c>
    </row>
    <row r="241" ht="12.75" customHeight="1" spans="1:11">
      <c r="A241" s="9">
        <v>240</v>
      </c>
      <c r="B241" s="9" t="s">
        <v>19</v>
      </c>
      <c r="C241" s="9" t="s">
        <v>522</v>
      </c>
      <c r="D241" s="9" t="s">
        <v>523</v>
      </c>
      <c r="E241" s="9" t="s">
        <v>558</v>
      </c>
      <c r="F241" s="9" t="s">
        <v>559</v>
      </c>
      <c r="G241" s="9" t="s">
        <v>24</v>
      </c>
      <c r="H241" s="20"/>
      <c r="I241" s="20"/>
      <c r="J241" s="21" t="s">
        <v>510</v>
      </c>
      <c r="K241" s="13" t="str">
        <f>_xlfn.XLOOKUP(D241,工作表2!A:A,工作表2!B:B)</f>
        <v>wrigAJEAAAKq5B_6tfwEuczD50tOSPfQ</v>
      </c>
    </row>
    <row r="242" ht="12.75" customHeight="1" spans="1:11">
      <c r="A242" s="9">
        <v>241</v>
      </c>
      <c r="B242" s="9" t="s">
        <v>19</v>
      </c>
      <c r="C242" s="9" t="s">
        <v>522</v>
      </c>
      <c r="D242" s="9" t="s">
        <v>523</v>
      </c>
      <c r="E242" s="9" t="s">
        <v>560</v>
      </c>
      <c r="F242" s="9" t="s">
        <v>561</v>
      </c>
      <c r="G242" s="9" t="s">
        <v>24</v>
      </c>
      <c r="H242" s="20"/>
      <c r="I242" s="20"/>
      <c r="J242" s="21" t="s">
        <v>510</v>
      </c>
      <c r="K242" s="13" t="str">
        <f>_xlfn.XLOOKUP(D242,工作表2!A:A,工作表2!B:B)</f>
        <v>wrigAJEAAAKq5B_6tfwEuczD50tOSPfQ</v>
      </c>
    </row>
    <row r="243" ht="12.75" customHeight="1" spans="1:11">
      <c r="A243" s="9">
        <v>242</v>
      </c>
      <c r="B243" s="9" t="s">
        <v>19</v>
      </c>
      <c r="C243" s="9" t="s">
        <v>522</v>
      </c>
      <c r="D243" s="9" t="s">
        <v>523</v>
      </c>
      <c r="E243" s="9" t="s">
        <v>562</v>
      </c>
      <c r="F243" s="9" t="s">
        <v>563</v>
      </c>
      <c r="G243" s="9" t="s">
        <v>24</v>
      </c>
      <c r="H243" s="20"/>
      <c r="I243" s="20"/>
      <c r="J243" s="21" t="s">
        <v>510</v>
      </c>
      <c r="K243" s="13" t="str">
        <f>_xlfn.XLOOKUP(D243,工作表2!A:A,工作表2!B:B)</f>
        <v>wrigAJEAAAKq5B_6tfwEuczD50tOSPfQ</v>
      </c>
    </row>
    <row r="244" ht="12.75" customHeight="1" spans="1:11">
      <c r="A244" s="9">
        <v>243</v>
      </c>
      <c r="B244" s="9" t="s">
        <v>19</v>
      </c>
      <c r="C244" s="9" t="s">
        <v>522</v>
      </c>
      <c r="D244" s="9" t="s">
        <v>523</v>
      </c>
      <c r="E244" s="9" t="s">
        <v>564</v>
      </c>
      <c r="F244" s="9" t="s">
        <v>565</v>
      </c>
      <c r="G244" s="9" t="s">
        <v>24</v>
      </c>
      <c r="H244" s="20"/>
      <c r="I244" s="20"/>
      <c r="J244" s="21" t="s">
        <v>510</v>
      </c>
      <c r="K244" s="13" t="str">
        <f>_xlfn.XLOOKUP(D244,工作表2!A:A,工作表2!B:B)</f>
        <v>wrigAJEAAAKq5B_6tfwEuczD50tOSPfQ</v>
      </c>
    </row>
    <row r="245" ht="12.75" customHeight="1" spans="1:11">
      <c r="A245" s="9">
        <v>244</v>
      </c>
      <c r="B245" s="9" t="s">
        <v>19</v>
      </c>
      <c r="C245" s="9" t="s">
        <v>522</v>
      </c>
      <c r="D245" s="9" t="s">
        <v>523</v>
      </c>
      <c r="E245" s="9" t="s">
        <v>566</v>
      </c>
      <c r="F245" s="9" t="s">
        <v>567</v>
      </c>
      <c r="G245" s="9" t="s">
        <v>24</v>
      </c>
      <c r="H245" s="20"/>
      <c r="I245" s="20"/>
      <c r="J245" s="21" t="s">
        <v>510</v>
      </c>
      <c r="K245" s="13" t="str">
        <f>_xlfn.XLOOKUP(D245,工作表2!A:A,工作表2!B:B)</f>
        <v>wrigAJEAAAKq5B_6tfwEuczD50tOSPfQ</v>
      </c>
    </row>
    <row r="246" ht="12.75" customHeight="1" spans="1:11">
      <c r="A246" s="9">
        <v>245</v>
      </c>
      <c r="B246" s="9" t="s">
        <v>19</v>
      </c>
      <c r="C246" s="9" t="s">
        <v>522</v>
      </c>
      <c r="D246" s="9" t="s">
        <v>523</v>
      </c>
      <c r="E246" s="9" t="s">
        <v>568</v>
      </c>
      <c r="F246" s="9" t="s">
        <v>569</v>
      </c>
      <c r="G246" s="9" t="s">
        <v>24</v>
      </c>
      <c r="H246" s="20"/>
      <c r="I246" s="20"/>
      <c r="J246" s="21" t="s">
        <v>510</v>
      </c>
      <c r="K246" s="13" t="str">
        <f>_xlfn.XLOOKUP(D246,工作表2!A:A,工作表2!B:B)</f>
        <v>wrigAJEAAAKq5B_6tfwEuczD50tOSPfQ</v>
      </c>
    </row>
    <row r="247" ht="12.75" customHeight="1" spans="1:11">
      <c r="A247" s="9">
        <v>246</v>
      </c>
      <c r="B247" s="9" t="s">
        <v>19</v>
      </c>
      <c r="C247" s="9" t="s">
        <v>522</v>
      </c>
      <c r="D247" s="9" t="s">
        <v>523</v>
      </c>
      <c r="E247" s="9" t="s">
        <v>570</v>
      </c>
      <c r="F247" s="9" t="s">
        <v>571</v>
      </c>
      <c r="G247" s="9" t="s">
        <v>24</v>
      </c>
      <c r="H247" s="20"/>
      <c r="I247" s="20"/>
      <c r="J247" s="21" t="s">
        <v>510</v>
      </c>
      <c r="K247" s="13" t="str">
        <f>_xlfn.XLOOKUP(D247,工作表2!A:A,工作表2!B:B)</f>
        <v>wrigAJEAAAKq5B_6tfwEuczD50tOSPfQ</v>
      </c>
    </row>
    <row r="248" ht="12.75" customHeight="1" spans="1:11">
      <c r="A248" s="9">
        <v>247</v>
      </c>
      <c r="B248" s="9" t="s">
        <v>19</v>
      </c>
      <c r="C248" s="9" t="s">
        <v>522</v>
      </c>
      <c r="D248" s="9" t="s">
        <v>523</v>
      </c>
      <c r="E248" s="9" t="s">
        <v>572</v>
      </c>
      <c r="F248" s="9" t="s">
        <v>573</v>
      </c>
      <c r="G248" s="9" t="s">
        <v>24</v>
      </c>
      <c r="H248" s="20"/>
      <c r="I248" s="20"/>
      <c r="J248" s="21" t="s">
        <v>510</v>
      </c>
      <c r="K248" s="13" t="str">
        <f>_xlfn.XLOOKUP(D248,工作表2!A:A,工作表2!B:B)</f>
        <v>wrigAJEAAAKq5B_6tfwEuczD50tOSPfQ</v>
      </c>
    </row>
    <row r="249" ht="12.75" customHeight="1" spans="1:11">
      <c r="A249" s="9">
        <v>248</v>
      </c>
      <c r="B249" s="9" t="s">
        <v>19</v>
      </c>
      <c r="C249" s="9" t="s">
        <v>522</v>
      </c>
      <c r="D249" s="9" t="s">
        <v>523</v>
      </c>
      <c r="E249" s="9" t="s">
        <v>574</v>
      </c>
      <c r="F249" s="9" t="s">
        <v>575</v>
      </c>
      <c r="G249" s="9" t="s">
        <v>24</v>
      </c>
      <c r="H249" s="20"/>
      <c r="I249" s="20"/>
      <c r="J249" s="21" t="s">
        <v>510</v>
      </c>
      <c r="K249" s="13" t="str">
        <f>_xlfn.XLOOKUP(D249,工作表2!A:A,工作表2!B:B)</f>
        <v>wrigAJEAAAKq5B_6tfwEuczD50tOSPfQ</v>
      </c>
    </row>
    <row r="250" ht="12.75" customHeight="1" spans="1:11">
      <c r="A250" s="9">
        <v>249</v>
      </c>
      <c r="B250" s="9" t="s">
        <v>19</v>
      </c>
      <c r="C250" s="9" t="s">
        <v>522</v>
      </c>
      <c r="D250" s="9" t="s">
        <v>523</v>
      </c>
      <c r="E250" s="9" t="s">
        <v>576</v>
      </c>
      <c r="F250" s="9" t="s">
        <v>577</v>
      </c>
      <c r="G250" s="9" t="s">
        <v>24</v>
      </c>
      <c r="H250" s="20"/>
      <c r="I250" s="20"/>
      <c r="J250" s="21" t="s">
        <v>510</v>
      </c>
      <c r="K250" s="13" t="str">
        <f>_xlfn.XLOOKUP(D250,工作表2!A:A,工作表2!B:B)</f>
        <v>wrigAJEAAAKq5B_6tfwEuczD50tOSPfQ</v>
      </c>
    </row>
    <row r="251" ht="12.75" customHeight="1" spans="1:11">
      <c r="A251" s="9">
        <v>250</v>
      </c>
      <c r="B251" s="9" t="s">
        <v>19</v>
      </c>
      <c r="C251" s="9" t="s">
        <v>522</v>
      </c>
      <c r="D251" s="9" t="s">
        <v>523</v>
      </c>
      <c r="E251" s="9" t="s">
        <v>578</v>
      </c>
      <c r="F251" s="9" t="s">
        <v>579</v>
      </c>
      <c r="G251" s="9" t="s">
        <v>24</v>
      </c>
      <c r="H251" s="20"/>
      <c r="I251" s="20"/>
      <c r="J251" s="21" t="s">
        <v>510</v>
      </c>
      <c r="K251" s="13" t="str">
        <f>_xlfn.XLOOKUP(D251,工作表2!A:A,工作表2!B:B)</f>
        <v>wrigAJEAAAKq5B_6tfwEuczD50tOSPfQ</v>
      </c>
    </row>
    <row r="252" ht="12.75" customHeight="1" spans="1:11">
      <c r="A252" s="9">
        <v>251</v>
      </c>
      <c r="B252" s="9" t="s">
        <v>19</v>
      </c>
      <c r="C252" s="9" t="s">
        <v>522</v>
      </c>
      <c r="D252" s="9" t="s">
        <v>523</v>
      </c>
      <c r="E252" s="9" t="s">
        <v>580</v>
      </c>
      <c r="F252" s="9" t="s">
        <v>581</v>
      </c>
      <c r="G252" s="9" t="s">
        <v>24</v>
      </c>
      <c r="H252" s="20"/>
      <c r="I252" s="20"/>
      <c r="J252" s="21" t="s">
        <v>510</v>
      </c>
      <c r="K252" s="13" t="str">
        <f>_xlfn.XLOOKUP(D252,工作表2!A:A,工作表2!B:B)</f>
        <v>wrigAJEAAAKq5B_6tfwEuczD50tOSPfQ</v>
      </c>
    </row>
    <row r="253" ht="12.75" customHeight="1" spans="1:11">
      <c r="A253" s="9">
        <v>252</v>
      </c>
      <c r="B253" s="9" t="s">
        <v>19</v>
      </c>
      <c r="C253" s="9" t="s">
        <v>522</v>
      </c>
      <c r="D253" s="9" t="s">
        <v>523</v>
      </c>
      <c r="E253" s="9" t="s">
        <v>582</v>
      </c>
      <c r="F253" s="9" t="s">
        <v>583</v>
      </c>
      <c r="G253" s="9" t="s">
        <v>24</v>
      </c>
      <c r="H253" s="20"/>
      <c r="I253" s="20"/>
      <c r="J253" s="21" t="s">
        <v>510</v>
      </c>
      <c r="K253" s="13" t="str">
        <f>_xlfn.XLOOKUP(D253,工作表2!A:A,工作表2!B:B)</f>
        <v>wrigAJEAAAKq5B_6tfwEuczD50tOSPfQ</v>
      </c>
    </row>
    <row r="254" ht="12.75" customHeight="1" spans="1:11">
      <c r="A254" s="9">
        <v>253</v>
      </c>
      <c r="B254" s="9" t="s">
        <v>584</v>
      </c>
      <c r="C254" s="9" t="s">
        <v>585</v>
      </c>
      <c r="D254" s="9" t="s">
        <v>586</v>
      </c>
      <c r="E254" s="11" t="s">
        <v>587</v>
      </c>
      <c r="F254" s="9" t="s">
        <v>588</v>
      </c>
      <c r="G254" s="9"/>
      <c r="H254" s="20"/>
      <c r="I254" s="20"/>
      <c r="J254" s="21" t="s">
        <v>589</v>
      </c>
      <c r="K254" s="13" t="str">
        <f>_xlfn.XLOOKUP(D254,工作表2!A:A,工作表2!B:B)</f>
        <v>wrigAJEAAA0G1K8Vh1Aktlwxpe0WsSoQ</v>
      </c>
    </row>
    <row r="255" ht="12.75" customHeight="1" spans="1:11">
      <c r="A255" s="9">
        <v>254</v>
      </c>
      <c r="B255" s="9" t="s">
        <v>19</v>
      </c>
      <c r="C255" s="9" t="s">
        <v>20</v>
      </c>
      <c r="D255" s="9" t="s">
        <v>590</v>
      </c>
      <c r="E255" s="9" t="s">
        <v>22</v>
      </c>
      <c r="F255" s="9" t="s">
        <v>23</v>
      </c>
      <c r="G255" s="9" t="s">
        <v>24</v>
      </c>
      <c r="H255" s="20"/>
      <c r="I255" s="20"/>
      <c r="J255" s="21" t="s">
        <v>589</v>
      </c>
      <c r="K255" s="13" t="str">
        <f>_xlfn.XLOOKUP(D255,工作表2!A:A,工作表2!B:B)</f>
        <v>wrigAJEAAAxNcmzy8tO9p9MJ18nr-sLg</v>
      </c>
    </row>
    <row r="256" ht="12.75" customHeight="1" spans="1:11">
      <c r="A256" s="9">
        <v>255</v>
      </c>
      <c r="B256" s="9" t="s">
        <v>19</v>
      </c>
      <c r="C256" s="9" t="s">
        <v>20</v>
      </c>
      <c r="D256" s="9" t="s">
        <v>590</v>
      </c>
      <c r="E256" s="9" t="s">
        <v>27</v>
      </c>
      <c r="F256" s="9" t="s">
        <v>28</v>
      </c>
      <c r="G256" s="9" t="s">
        <v>24</v>
      </c>
      <c r="H256" s="20"/>
      <c r="I256" s="20"/>
      <c r="J256" s="21" t="s">
        <v>589</v>
      </c>
      <c r="K256" s="13" t="str">
        <f>_xlfn.XLOOKUP(D256,工作表2!A:A,工作表2!B:B)</f>
        <v>wrigAJEAAAxNcmzy8tO9p9MJ18nr-sLg</v>
      </c>
    </row>
    <row r="257" ht="12.75" customHeight="1" spans="1:11">
      <c r="A257" s="9">
        <v>256</v>
      </c>
      <c r="B257" s="9" t="s">
        <v>19</v>
      </c>
      <c r="C257" s="9" t="s">
        <v>20</v>
      </c>
      <c r="D257" s="9" t="s">
        <v>590</v>
      </c>
      <c r="E257" s="9" t="s">
        <v>30</v>
      </c>
      <c r="F257" s="9" t="s">
        <v>31</v>
      </c>
      <c r="G257" s="9" t="s">
        <v>24</v>
      </c>
      <c r="H257" s="20"/>
      <c r="I257" s="20"/>
      <c r="J257" s="21" t="s">
        <v>589</v>
      </c>
      <c r="K257" s="13" t="str">
        <f>_xlfn.XLOOKUP(D257,工作表2!A:A,工作表2!B:B)</f>
        <v>wrigAJEAAAxNcmzy8tO9p9MJ18nr-sLg</v>
      </c>
    </row>
    <row r="258" ht="12.75" customHeight="1" spans="1:11">
      <c r="A258" s="9">
        <v>257</v>
      </c>
      <c r="B258" s="9" t="s">
        <v>19</v>
      </c>
      <c r="C258" s="9" t="s">
        <v>20</v>
      </c>
      <c r="D258" s="9" t="s">
        <v>590</v>
      </c>
      <c r="E258" s="9" t="s">
        <v>33</v>
      </c>
      <c r="F258" s="9" t="s">
        <v>34</v>
      </c>
      <c r="G258" s="9" t="s">
        <v>24</v>
      </c>
      <c r="H258" s="20"/>
      <c r="I258" s="20"/>
      <c r="J258" s="21" t="s">
        <v>589</v>
      </c>
      <c r="K258" s="13" t="str">
        <f>_xlfn.XLOOKUP(D258,工作表2!A:A,工作表2!B:B)</f>
        <v>wrigAJEAAAxNcmzy8tO9p9MJ18nr-sLg</v>
      </c>
    </row>
    <row r="259" ht="12.75" customHeight="1" spans="1:11">
      <c r="A259" s="9">
        <v>258</v>
      </c>
      <c r="B259" s="9" t="s">
        <v>19</v>
      </c>
      <c r="C259" s="9" t="s">
        <v>20</v>
      </c>
      <c r="D259" s="9" t="s">
        <v>590</v>
      </c>
      <c r="E259" s="9" t="s">
        <v>36</v>
      </c>
      <c r="F259" s="9" t="s">
        <v>37</v>
      </c>
      <c r="G259" s="9" t="s">
        <v>24</v>
      </c>
      <c r="J259" s="21" t="s">
        <v>589</v>
      </c>
      <c r="K259" s="13" t="str">
        <f>_xlfn.XLOOKUP(D259,工作表2!A:A,工作表2!B:B)</f>
        <v>wrigAJEAAAxNcmzy8tO9p9MJ18nr-sLg</v>
      </c>
    </row>
    <row r="260" ht="12.75" customHeight="1" spans="1:11">
      <c r="A260" s="9">
        <v>259</v>
      </c>
      <c r="B260" s="9" t="s">
        <v>19</v>
      </c>
      <c r="C260" s="9" t="s">
        <v>20</v>
      </c>
      <c r="D260" s="9" t="s">
        <v>590</v>
      </c>
      <c r="E260" s="9" t="s">
        <v>39</v>
      </c>
      <c r="F260" s="9" t="s">
        <v>40</v>
      </c>
      <c r="G260" s="9" t="s">
        <v>24</v>
      </c>
      <c r="J260" s="21" t="s">
        <v>589</v>
      </c>
      <c r="K260" s="13" t="str">
        <f>_xlfn.XLOOKUP(D260,工作表2!A:A,工作表2!B:B)</f>
        <v>wrigAJEAAAxNcmzy8tO9p9MJ18nr-sLg</v>
      </c>
    </row>
    <row r="261" ht="12.75" customHeight="1" spans="1:11">
      <c r="A261" s="9">
        <v>260</v>
      </c>
      <c r="B261" s="9" t="s">
        <v>19</v>
      </c>
      <c r="C261" s="9" t="s">
        <v>20</v>
      </c>
      <c r="D261" s="9" t="s">
        <v>590</v>
      </c>
      <c r="E261" s="9" t="s">
        <v>41</v>
      </c>
      <c r="F261" s="9" t="s">
        <v>42</v>
      </c>
      <c r="G261" s="9" t="s">
        <v>24</v>
      </c>
      <c r="J261" s="21" t="s">
        <v>589</v>
      </c>
      <c r="K261" s="13" t="str">
        <f>_xlfn.XLOOKUP(D261,工作表2!A:A,工作表2!B:B)</f>
        <v>wrigAJEAAAxNcmzy8tO9p9MJ18nr-sLg</v>
      </c>
    </row>
    <row r="262" ht="12.75" customHeight="1" spans="1:11">
      <c r="A262" s="31">
        <v>261</v>
      </c>
      <c r="B262" s="31" t="s">
        <v>19</v>
      </c>
      <c r="C262" s="31" t="s">
        <v>20</v>
      </c>
      <c r="D262" s="31" t="s">
        <v>590</v>
      </c>
      <c r="E262" s="31" t="s">
        <v>43</v>
      </c>
      <c r="F262" s="31" t="s">
        <v>44</v>
      </c>
      <c r="G262" s="31" t="s">
        <v>24</v>
      </c>
      <c r="J262" s="21" t="s">
        <v>589</v>
      </c>
      <c r="K262" s="13" t="str">
        <f>_xlfn.XLOOKUP(D262,工作表2!A:A,工作表2!B:B)</f>
        <v>wrigAJEAAAxNcmzy8tO9p9MJ18nr-sLg</v>
      </c>
    </row>
    <row r="263" ht="12.75" customHeight="1" spans="1:11">
      <c r="A263" s="9">
        <v>262</v>
      </c>
      <c r="B263" s="9" t="s">
        <v>19</v>
      </c>
      <c r="C263" s="9" t="s">
        <v>20</v>
      </c>
      <c r="D263" s="9" t="s">
        <v>590</v>
      </c>
      <c r="E263" s="9" t="s">
        <v>591</v>
      </c>
      <c r="F263" s="9" t="s">
        <v>592</v>
      </c>
      <c r="G263" s="9" t="s">
        <v>24</v>
      </c>
      <c r="J263" s="21" t="s">
        <v>589</v>
      </c>
      <c r="K263" s="13" t="str">
        <f>_xlfn.XLOOKUP(D263,工作表2!A:A,工作表2!B:B)</f>
        <v>wrigAJEAAAxNcmzy8tO9p9MJ18nr-sLg</v>
      </c>
    </row>
    <row r="264" ht="12.75" customHeight="1" spans="1:11">
      <c r="A264" s="9">
        <v>263</v>
      </c>
      <c r="B264" s="9" t="s">
        <v>19</v>
      </c>
      <c r="C264" s="9" t="s">
        <v>20</v>
      </c>
      <c r="D264" s="9" t="s">
        <v>590</v>
      </c>
      <c r="E264" s="9" t="s">
        <v>593</v>
      </c>
      <c r="F264" s="9" t="s">
        <v>594</v>
      </c>
      <c r="G264" s="9" t="s">
        <v>24</v>
      </c>
      <c r="J264" s="21" t="s">
        <v>589</v>
      </c>
      <c r="K264" s="13" t="str">
        <f>_xlfn.XLOOKUP(D264,工作表2!A:A,工作表2!B:B)</f>
        <v>wrigAJEAAAxNcmzy8tO9p9MJ18nr-sLg</v>
      </c>
    </row>
    <row r="265" ht="12.75" customHeight="1" spans="1:11">
      <c r="A265" s="9">
        <v>264</v>
      </c>
      <c r="B265" s="9" t="s">
        <v>54</v>
      </c>
      <c r="C265" s="9" t="s">
        <v>55</v>
      </c>
      <c r="D265" s="9" t="s">
        <v>595</v>
      </c>
      <c r="E265" s="9" t="s">
        <v>596</v>
      </c>
      <c r="F265" s="9" t="s">
        <v>597</v>
      </c>
      <c r="G265" s="9"/>
      <c r="J265" s="21" t="s">
        <v>589</v>
      </c>
      <c r="K265" s="13" t="str">
        <f>_xlfn.XLOOKUP(D265,工作表2!A:A,工作表2!B:B)</f>
        <v>wrigAJEAAAjKZssLHb8pmlg2-Zpvv5yw</v>
      </c>
    </row>
    <row r="266" ht="12.75" customHeight="1" spans="1:11">
      <c r="A266" s="9">
        <v>265</v>
      </c>
      <c r="B266" s="9" t="s">
        <v>54</v>
      </c>
      <c r="C266" s="9" t="s">
        <v>55</v>
      </c>
      <c r="D266" s="9" t="s">
        <v>598</v>
      </c>
      <c r="E266" s="9" t="s">
        <v>599</v>
      </c>
      <c r="F266" s="9" t="s">
        <v>600</v>
      </c>
      <c r="G266" s="9"/>
      <c r="J266" s="21" t="s">
        <v>589</v>
      </c>
      <c r="K266" s="13" t="str">
        <f>_xlfn.XLOOKUP(D266,工作表2!A:A,工作表2!B:B)</f>
        <v>wrigAJEAAANRvyCCA5xtayf-dJ0W6AAg</v>
      </c>
    </row>
    <row r="267" ht="12.75" customHeight="1" spans="1:11">
      <c r="A267" s="9">
        <v>266</v>
      </c>
      <c r="B267" s="9" t="s">
        <v>601</v>
      </c>
      <c r="C267" s="9" t="s">
        <v>602</v>
      </c>
      <c r="D267" s="9" t="s">
        <v>603</v>
      </c>
      <c r="E267" s="9" t="s">
        <v>604</v>
      </c>
      <c r="F267" s="9" t="s">
        <v>605</v>
      </c>
      <c r="G267" s="9"/>
      <c r="J267" s="21" t="s">
        <v>606</v>
      </c>
      <c r="K267" s="13" t="str">
        <f>_xlfn.XLOOKUP(D267,工作表2!A:A,工作表2!B:B)</f>
        <v>wrigAJEAAALp2od1Fmfnpcjc65RFn-Hw</v>
      </c>
    </row>
    <row r="268" ht="12.75" customHeight="1" spans="1:11">
      <c r="A268" s="9">
        <v>267</v>
      </c>
      <c r="B268" s="9" t="s">
        <v>601</v>
      </c>
      <c r="C268" s="9" t="s">
        <v>602</v>
      </c>
      <c r="D268" s="9" t="s">
        <v>607</v>
      </c>
      <c r="E268" s="9" t="s">
        <v>608</v>
      </c>
      <c r="F268" s="9" t="s">
        <v>609</v>
      </c>
      <c r="G268" s="9"/>
      <c r="J268" s="21" t="s">
        <v>606</v>
      </c>
      <c r="K268" s="13" t="str">
        <f>_xlfn.XLOOKUP(D268,工作表2!A:A,工作表2!B:B)</f>
        <v>wrigAJEAAAdhREmyqveSijpkBtEamTaQ</v>
      </c>
    </row>
    <row r="269" ht="12.75" customHeight="1" spans="1:11">
      <c r="A269" s="9">
        <v>268</v>
      </c>
      <c r="B269" s="9" t="s">
        <v>601</v>
      </c>
      <c r="C269" s="9" t="s">
        <v>602</v>
      </c>
      <c r="D269" s="9" t="s">
        <v>610</v>
      </c>
      <c r="E269" s="9" t="s">
        <v>611</v>
      </c>
      <c r="F269" s="9" t="s">
        <v>612</v>
      </c>
      <c r="G269" s="9"/>
      <c r="J269" s="21" t="s">
        <v>606</v>
      </c>
      <c r="K269" s="13" t="str">
        <f>_xlfn.XLOOKUP(D269,工作表2!A:A,工作表2!B:B)</f>
        <v>wrigAJEAAAqLaBVGKGP_7DUHcHpeUwEw</v>
      </c>
    </row>
    <row r="270" ht="12.75" customHeight="1" spans="1:11">
      <c r="A270" s="9">
        <v>269</v>
      </c>
      <c r="B270" s="9" t="s">
        <v>601</v>
      </c>
      <c r="C270" s="9" t="s">
        <v>602</v>
      </c>
      <c r="D270" s="9" t="s">
        <v>613</v>
      </c>
      <c r="E270" s="9" t="s">
        <v>614</v>
      </c>
      <c r="F270" s="9" t="s">
        <v>615</v>
      </c>
      <c r="G270" s="9"/>
      <c r="J270" s="21" t="s">
        <v>606</v>
      </c>
      <c r="K270" s="13" t="str">
        <f>_xlfn.XLOOKUP(D270,工作表2!A:A,工作表2!B:B)</f>
        <v>wrigAJEAAAtEZLOKfIba3MQ9ZXAgsYnA</v>
      </c>
    </row>
    <row r="271" ht="12.75" customHeight="1" spans="1:11">
      <c r="A271" s="9">
        <v>270</v>
      </c>
      <c r="B271" s="9" t="s">
        <v>601</v>
      </c>
      <c r="C271" s="9" t="s">
        <v>602</v>
      </c>
      <c r="D271" s="9" t="s">
        <v>616</v>
      </c>
      <c r="E271" s="9" t="s">
        <v>617</v>
      </c>
      <c r="F271" s="9" t="s">
        <v>618</v>
      </c>
      <c r="G271" s="9"/>
      <c r="J271" s="21" t="s">
        <v>606</v>
      </c>
      <c r="K271" s="13" t="str">
        <f>_xlfn.XLOOKUP(D271,工作表2!A:A,工作表2!B:B)</f>
        <v>wrigAJEAAA-WrorVrRPVnDnE1U9BbidQ</v>
      </c>
    </row>
    <row r="272" ht="12.75" customHeight="1" spans="1:11">
      <c r="A272" s="9">
        <v>271</v>
      </c>
      <c r="B272" s="9" t="s">
        <v>601</v>
      </c>
      <c r="C272" s="9" t="s">
        <v>602</v>
      </c>
      <c r="D272" s="9" t="s">
        <v>619</v>
      </c>
      <c r="E272" s="9" t="s">
        <v>620</v>
      </c>
      <c r="F272" s="9" t="s">
        <v>621</v>
      </c>
      <c r="G272" s="9"/>
      <c r="J272" s="21" t="s">
        <v>606</v>
      </c>
      <c r="K272" s="13" t="str">
        <f>_xlfn.XLOOKUP(D272,工作表2!A:A,工作表2!B:B)</f>
        <v>wrigAJEAAAjBvMJvOX-ej5xl2d9-f_qA</v>
      </c>
    </row>
    <row r="273" ht="12.75" customHeight="1" spans="1:11">
      <c r="A273" s="9">
        <v>272</v>
      </c>
      <c r="B273" s="9" t="s">
        <v>11</v>
      </c>
      <c r="C273" s="9" t="s">
        <v>12</v>
      </c>
      <c r="D273" s="9" t="s">
        <v>622</v>
      </c>
      <c r="E273" s="9" t="s">
        <v>623</v>
      </c>
      <c r="F273" s="9" t="s">
        <v>624</v>
      </c>
      <c r="G273" s="9"/>
      <c r="J273" s="21" t="s">
        <v>606</v>
      </c>
      <c r="K273" s="13" t="str">
        <f>_xlfn.XLOOKUP(D273,工作表2!A:A,工作表2!B:B)</f>
        <v>wrigAJEAAAA7xEQBBN3w3Xdw-WCw1pBg</v>
      </c>
    </row>
    <row r="274" ht="12.75" customHeight="1" spans="1:11">
      <c r="A274" s="9">
        <v>273</v>
      </c>
      <c r="B274" s="9" t="s">
        <v>601</v>
      </c>
      <c r="C274" s="9" t="s">
        <v>602</v>
      </c>
      <c r="D274" s="9" t="s">
        <v>625</v>
      </c>
      <c r="E274" s="9" t="s">
        <v>626</v>
      </c>
      <c r="F274" s="9" t="s">
        <v>627</v>
      </c>
      <c r="G274" s="9"/>
      <c r="J274" s="21" t="s">
        <v>606</v>
      </c>
      <c r="K274" s="13" t="str">
        <f>_xlfn.XLOOKUP(D274,工作表2!A:A,工作表2!B:B)</f>
        <v>wrigAJEAAAf4jako3fFEcnvoFSBO6qww</v>
      </c>
    </row>
    <row r="275" ht="12.75" customHeight="1" spans="1:11">
      <c r="A275" s="9">
        <v>274</v>
      </c>
      <c r="B275" s="9" t="s">
        <v>601</v>
      </c>
      <c r="C275" s="9" t="s">
        <v>602</v>
      </c>
      <c r="D275" s="9" t="s">
        <v>628</v>
      </c>
      <c r="E275" s="9" t="s">
        <v>629</v>
      </c>
      <c r="F275" s="9" t="s">
        <v>630</v>
      </c>
      <c r="G275" s="9"/>
      <c r="J275" s="21" t="s">
        <v>631</v>
      </c>
      <c r="K275" s="13" t="str">
        <f>_xlfn.XLOOKUP(D275,工作表2!A:A,工作表2!B:B)</f>
        <v>wrigAJEAAAUh3vKCVjeNRLZFXo9QCCMg</v>
      </c>
    </row>
    <row r="276" ht="12.75" customHeight="1" spans="1:11">
      <c r="A276" s="9">
        <v>275</v>
      </c>
      <c r="B276" s="9" t="s">
        <v>632</v>
      </c>
      <c r="C276" s="9" t="s">
        <v>633</v>
      </c>
      <c r="D276" s="9" t="s">
        <v>634</v>
      </c>
      <c r="E276" s="9" t="s">
        <v>635</v>
      </c>
      <c r="F276" s="9" t="s">
        <v>636</v>
      </c>
      <c r="G276" s="9" t="s">
        <v>24</v>
      </c>
      <c r="J276" s="21" t="s">
        <v>631</v>
      </c>
      <c r="K276" s="13" t="str">
        <f>_xlfn.XLOOKUP(D276,工作表2!A:A,工作表2!B:B)</f>
        <v>wrigAJEAAAJxTSBYq7_UjgAOZ85TeLbw</v>
      </c>
    </row>
    <row r="277" ht="12.75" customHeight="1" spans="1:11">
      <c r="A277" s="9">
        <v>276</v>
      </c>
      <c r="B277" s="9" t="s">
        <v>632</v>
      </c>
      <c r="C277" s="9" t="s">
        <v>633</v>
      </c>
      <c r="D277" s="9" t="s">
        <v>637</v>
      </c>
      <c r="E277" s="9" t="s">
        <v>638</v>
      </c>
      <c r="F277" s="9" t="s">
        <v>639</v>
      </c>
      <c r="G277" s="9"/>
      <c r="J277" s="21" t="s">
        <v>631</v>
      </c>
      <c r="K277" s="13" t="str">
        <f>_xlfn.XLOOKUP(D277,工作表2!A:A,工作表2!B:B)</f>
        <v>wrigAJEAAAgJJzI-5ej6CXspBTWHHR1g</v>
      </c>
    </row>
    <row r="278" ht="12.75" customHeight="1" spans="1:11">
      <c r="A278" s="9">
        <v>276</v>
      </c>
      <c r="B278" s="9" t="s">
        <v>81</v>
      </c>
      <c r="C278" s="9" t="s">
        <v>82</v>
      </c>
      <c r="D278" s="9" t="s">
        <v>513</v>
      </c>
      <c r="E278" s="11" t="s">
        <v>640</v>
      </c>
      <c r="F278" s="9" t="s">
        <v>641</v>
      </c>
      <c r="G278" s="9" t="s">
        <v>502</v>
      </c>
      <c r="J278" s="21" t="s">
        <v>631</v>
      </c>
      <c r="K278" s="13" t="str">
        <f>_xlfn.XLOOKUP(D278,工作表2!A:A,工作表2!B:B)</f>
        <v>wrigAJEAAAvhBRbYXHeWXOqwEPX0ZMPQ</v>
      </c>
    </row>
    <row r="279" ht="12.75" customHeight="1" spans="1:11">
      <c r="A279" s="9">
        <v>277</v>
      </c>
      <c r="B279" s="9" t="s">
        <v>642</v>
      </c>
      <c r="C279" s="9" t="s">
        <v>643</v>
      </c>
      <c r="D279" s="9" t="s">
        <v>644</v>
      </c>
      <c r="E279" s="9" t="s">
        <v>645</v>
      </c>
      <c r="F279" s="9" t="s">
        <v>646</v>
      </c>
      <c r="G279" s="9"/>
      <c r="J279" s="21" t="s">
        <v>631</v>
      </c>
      <c r="K279" s="13" t="str">
        <f>_xlfn.XLOOKUP(D279,工作表2!A:A,工作表2!B:B)</f>
        <v>wrigAJEAAA1U_UdU5xMUawy-Y2J4Nmcw</v>
      </c>
    </row>
    <row r="280" ht="12.75" customHeight="1" spans="1:11">
      <c r="A280" s="9">
        <v>278</v>
      </c>
      <c r="B280" s="9" t="s">
        <v>632</v>
      </c>
      <c r="C280" s="9" t="s">
        <v>633</v>
      </c>
      <c r="D280" s="9" t="s">
        <v>634</v>
      </c>
      <c r="E280" s="9" t="s">
        <v>647</v>
      </c>
      <c r="F280" s="9" t="s">
        <v>648</v>
      </c>
      <c r="G280" s="9" t="s">
        <v>24</v>
      </c>
      <c r="J280" s="21" t="s">
        <v>631</v>
      </c>
      <c r="K280" s="13" t="str">
        <f>_xlfn.XLOOKUP(D280,工作表2!A:A,工作表2!B:B)</f>
        <v>wrigAJEAAAJxTSBYq7_UjgAOZ85TeLbw</v>
      </c>
    </row>
    <row r="281" ht="12.75" customHeight="1" spans="1:11">
      <c r="A281" s="9">
        <v>279</v>
      </c>
      <c r="B281" s="9" t="s">
        <v>142</v>
      </c>
      <c r="C281" s="9" t="s">
        <v>649</v>
      </c>
      <c r="D281" s="9" t="s">
        <v>650</v>
      </c>
      <c r="E281" s="11" t="s">
        <v>651</v>
      </c>
      <c r="F281" s="9" t="s">
        <v>652</v>
      </c>
      <c r="G281" s="9" t="s">
        <v>653</v>
      </c>
      <c r="J281" s="21" t="s">
        <v>654</v>
      </c>
      <c r="K281" s="13" t="str">
        <f>_xlfn.XLOOKUP(D281,工作表2!A:A,工作表2!B:B)</f>
        <v>wrigAJEAAALddYeTsVjOdYuTSS8XTUhg</v>
      </c>
    </row>
    <row r="282" ht="12.75" customHeight="1" spans="1:11">
      <c r="A282" s="9">
        <v>279</v>
      </c>
      <c r="B282" s="9" t="s">
        <v>142</v>
      </c>
      <c r="C282" s="9" t="s">
        <v>649</v>
      </c>
      <c r="D282" s="9" t="s">
        <v>650</v>
      </c>
      <c r="E282" s="11" t="s">
        <v>655</v>
      </c>
      <c r="F282" s="10" t="s">
        <v>656</v>
      </c>
      <c r="G282" s="9" t="s">
        <v>653</v>
      </c>
      <c r="J282" s="21" t="s">
        <v>654</v>
      </c>
      <c r="K282" s="13" t="str">
        <f>_xlfn.XLOOKUP(D282,工作表2!A:A,工作表2!B:B)</f>
        <v>wrigAJEAAALddYeTsVjOdYuTSS8XTUhg</v>
      </c>
    </row>
    <row r="283" ht="12.75" customHeight="1" spans="1:11">
      <c r="A283" s="9">
        <v>279</v>
      </c>
      <c r="B283" s="9" t="s">
        <v>142</v>
      </c>
      <c r="C283" s="9" t="s">
        <v>649</v>
      </c>
      <c r="D283" s="9" t="s">
        <v>650</v>
      </c>
      <c r="E283" s="11" t="s">
        <v>657</v>
      </c>
      <c r="F283" s="10" t="s">
        <v>658</v>
      </c>
      <c r="G283" s="9" t="s">
        <v>653</v>
      </c>
      <c r="J283" s="21" t="s">
        <v>654</v>
      </c>
      <c r="K283" s="13" t="str">
        <f>_xlfn.XLOOKUP(D283,工作表2!A:A,工作表2!B:B)</f>
        <v>wrigAJEAAALddYeTsVjOdYuTSS8XTUhg</v>
      </c>
    </row>
    <row r="284" ht="12.75" customHeight="1" spans="1:11">
      <c r="A284" s="9">
        <v>279</v>
      </c>
      <c r="B284" s="9" t="s">
        <v>142</v>
      </c>
      <c r="C284" s="9" t="s">
        <v>649</v>
      </c>
      <c r="D284" s="9" t="s">
        <v>650</v>
      </c>
      <c r="E284" s="11" t="s">
        <v>659</v>
      </c>
      <c r="F284" s="10" t="s">
        <v>660</v>
      </c>
      <c r="G284" s="9" t="s">
        <v>653</v>
      </c>
      <c r="J284" s="21" t="s">
        <v>654</v>
      </c>
      <c r="K284" s="13" t="str">
        <f>_xlfn.XLOOKUP(D284,工作表2!A:A,工作表2!B:B)</f>
        <v>wrigAJEAAALddYeTsVjOdYuTSS8XTUhg</v>
      </c>
    </row>
    <row r="285" ht="12.75" customHeight="1" spans="1:11">
      <c r="A285" s="9">
        <v>279</v>
      </c>
      <c r="B285" s="9" t="s">
        <v>142</v>
      </c>
      <c r="C285" s="9" t="s">
        <v>649</v>
      </c>
      <c r="D285" s="9" t="s">
        <v>661</v>
      </c>
      <c r="E285" s="11" t="s">
        <v>662</v>
      </c>
      <c r="F285" s="11" t="s">
        <v>663</v>
      </c>
      <c r="G285" s="9" t="s">
        <v>653</v>
      </c>
      <c r="J285" s="21" t="s">
        <v>654</v>
      </c>
      <c r="K285" s="13" t="str">
        <f>_xlfn.XLOOKUP(D285,工作表2!A:A,工作表2!B:B)</f>
        <v>wrigAJEAAAmGlEVdITxo2FM4Gcft3FbQ</v>
      </c>
    </row>
    <row r="286" ht="12.75" customHeight="1" spans="1:11">
      <c r="A286" s="9">
        <v>281</v>
      </c>
      <c r="B286" s="9" t="s">
        <v>601</v>
      </c>
      <c r="C286" s="9" t="s">
        <v>602</v>
      </c>
      <c r="D286" s="10" t="s">
        <v>664</v>
      </c>
      <c r="E286" s="9" t="s">
        <v>665</v>
      </c>
      <c r="F286" s="10" t="s">
        <v>666</v>
      </c>
      <c r="G286" s="9"/>
      <c r="J286" s="21" t="s">
        <v>667</v>
      </c>
      <c r="K286" s="13" t="str">
        <f>_xlfn.XLOOKUP(D286,工作表2!A:A,工作表2!B:B)</f>
        <v>wrigAJEAAAbDhxGTygrwIldObeIROadQ</v>
      </c>
    </row>
    <row r="287" ht="12.75" customHeight="1" spans="1:11">
      <c r="A287" s="9">
        <v>283</v>
      </c>
      <c r="B287" s="9" t="s">
        <v>601</v>
      </c>
      <c r="C287" s="9" t="s">
        <v>602</v>
      </c>
      <c r="D287" s="9" t="s">
        <v>668</v>
      </c>
      <c r="E287" s="9" t="s">
        <v>669</v>
      </c>
      <c r="F287" s="9" t="s">
        <v>670</v>
      </c>
      <c r="G287" s="9"/>
      <c r="J287" s="21" t="s">
        <v>667</v>
      </c>
      <c r="K287" s="13" t="str">
        <f>_xlfn.XLOOKUP(D287,工作表2!A:A,工作表2!B:B)</f>
        <v>wrigAJEAAAD9CQ3Jcoip1LqIVDXE3Aag</v>
      </c>
    </row>
    <row r="288" ht="12.75" customHeight="1" spans="1:11">
      <c r="A288" s="9">
        <v>284</v>
      </c>
      <c r="B288" s="9" t="s">
        <v>601</v>
      </c>
      <c r="C288" s="9" t="s">
        <v>602</v>
      </c>
      <c r="D288" s="9" t="s">
        <v>671</v>
      </c>
      <c r="E288" s="9" t="s">
        <v>672</v>
      </c>
      <c r="F288" s="9" t="s">
        <v>673</v>
      </c>
      <c r="G288" s="9"/>
      <c r="J288" s="21" t="s">
        <v>667</v>
      </c>
      <c r="K288" s="13" t="str">
        <f>_xlfn.XLOOKUP(D288,工作表2!A:A,工作表2!B:B)</f>
        <v>wrigAJEAAAeBZ9aYYmhwpwL8SUe6zjSA</v>
      </c>
    </row>
    <row r="289" ht="12.75" customHeight="1" spans="1:11">
      <c r="A289" s="9">
        <v>285</v>
      </c>
      <c r="B289" s="9" t="s">
        <v>601</v>
      </c>
      <c r="C289" s="9" t="s">
        <v>602</v>
      </c>
      <c r="D289" s="9" t="s">
        <v>674</v>
      </c>
      <c r="E289" s="9" t="s">
        <v>675</v>
      </c>
      <c r="F289" s="9" t="s">
        <v>676</v>
      </c>
      <c r="G289" s="9"/>
      <c r="J289" s="21" t="s">
        <v>667</v>
      </c>
      <c r="K289" s="13" t="str">
        <f>_xlfn.XLOOKUP(D289,工作表2!A:A,工作表2!B:B)</f>
        <v>wrigAJEAAA63iPnj5nEdmaH0iCCs7Y1Q</v>
      </c>
    </row>
    <row r="290" ht="12.75" customHeight="1" spans="1:11">
      <c r="B290" s="32"/>
      <c r="C290" s="32"/>
    </row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</sheetData>
  <autoFilter xmlns:etc="http://www.wps.cn/officeDocument/2017/etCustomData" ref="A1:J289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"/>
  <sheetViews>
    <sheetView workbookViewId="0">
      <selection activeCell="A1" sqref="A1"/>
    </sheetView>
  </sheetViews>
  <sheetFormatPr defaultColWidth="14" defaultRowHeight="18" customHeight="1" outlineLevelCol="5"/>
  <cols>
    <col min="1" max="1" width="49.6363636363636" customWidth="1"/>
    <col min="2" max="2" width="44.4727272727273" customWidth="1"/>
    <col min="3" max="3" width="15.7090909090909" customWidth="1"/>
    <col min="4" max="4" width="26.6090909090909" customWidth="1"/>
    <col min="5" max="5" width="10.7090909090909" customWidth="1"/>
  </cols>
  <sheetData>
    <row r="1" customHeight="1" spans="1:5">
      <c r="A1" s="1" t="s">
        <v>45</v>
      </c>
      <c r="B1" s="2" t="s">
        <v>677</v>
      </c>
      <c r="C1" s="1" t="s">
        <v>678</v>
      </c>
      <c r="D1" s="1" t="s">
        <v>679</v>
      </c>
      <c r="E1" s="3"/>
    </row>
    <row r="2" customHeight="1" spans="1:5">
      <c r="A2" s="1" t="s">
        <v>13</v>
      </c>
      <c r="B2" s="2" t="s">
        <v>680</v>
      </c>
      <c r="C2" s="1" t="s">
        <v>678</v>
      </c>
      <c r="D2" s="1" t="s">
        <v>679</v>
      </c>
      <c r="E2" s="3"/>
    </row>
    <row r="3" customHeight="1" spans="1:5">
      <c r="A3" s="1" t="s">
        <v>29</v>
      </c>
      <c r="B3" s="2" t="s">
        <v>681</v>
      </c>
      <c r="C3" s="1" t="s">
        <v>678</v>
      </c>
      <c r="D3" s="1" t="s">
        <v>679</v>
      </c>
      <c r="E3" s="3"/>
    </row>
    <row r="4" customHeight="1" spans="1:5">
      <c r="A4" s="1" t="s">
        <v>32</v>
      </c>
      <c r="B4" s="2" t="s">
        <v>682</v>
      </c>
      <c r="C4" s="1" t="s">
        <v>678</v>
      </c>
      <c r="D4" s="1" t="s">
        <v>679</v>
      </c>
      <c r="E4" s="3"/>
    </row>
    <row r="5" customHeight="1" spans="1:5">
      <c r="A5" s="1" t="s">
        <v>35</v>
      </c>
      <c r="B5" s="2" t="s">
        <v>683</v>
      </c>
      <c r="C5" s="1" t="s">
        <v>678</v>
      </c>
      <c r="D5" s="1" t="s">
        <v>679</v>
      </c>
      <c r="E5" s="3"/>
    </row>
    <row r="6" customHeight="1" spans="1:5">
      <c r="A6" s="1" t="s">
        <v>48</v>
      </c>
      <c r="B6" s="2" t="s">
        <v>684</v>
      </c>
      <c r="C6" s="1" t="s">
        <v>678</v>
      </c>
      <c r="D6" s="1" t="s">
        <v>679</v>
      </c>
      <c r="E6" s="3"/>
    </row>
    <row r="7" customHeight="1" spans="1:5">
      <c r="A7" s="1" t="s">
        <v>51</v>
      </c>
      <c r="B7" s="2" t="s">
        <v>685</v>
      </c>
      <c r="C7" s="1" t="s">
        <v>678</v>
      </c>
      <c r="D7" s="1" t="s">
        <v>679</v>
      </c>
      <c r="E7" s="3"/>
    </row>
    <row r="8" customHeight="1" spans="1:5">
      <c r="A8" s="1" t="s">
        <v>56</v>
      </c>
      <c r="B8" s="2" t="s">
        <v>686</v>
      </c>
      <c r="C8" s="1" t="s">
        <v>678</v>
      </c>
      <c r="D8" s="1" t="s">
        <v>679</v>
      </c>
      <c r="E8" s="3"/>
    </row>
    <row r="9" customHeight="1" spans="1:5">
      <c r="A9" s="1" t="s">
        <v>59</v>
      </c>
      <c r="B9" s="2" t="s">
        <v>687</v>
      </c>
      <c r="C9" s="1" t="s">
        <v>678</v>
      </c>
      <c r="D9" s="1" t="s">
        <v>679</v>
      </c>
      <c r="E9" s="3"/>
    </row>
    <row r="10" customHeight="1" spans="1:5">
      <c r="A10" s="1" t="s">
        <v>78</v>
      </c>
      <c r="B10" s="2" t="s">
        <v>688</v>
      </c>
      <c r="C10" s="1" t="s">
        <v>678</v>
      </c>
      <c r="D10" s="1" t="s">
        <v>679</v>
      </c>
      <c r="E10" s="3"/>
    </row>
    <row r="11" customHeight="1" spans="1:5">
      <c r="A11" s="1" t="s">
        <v>689</v>
      </c>
      <c r="B11" s="2" t="s">
        <v>690</v>
      </c>
      <c r="C11" s="1" t="s">
        <v>678</v>
      </c>
      <c r="D11" s="1" t="s">
        <v>679</v>
      </c>
      <c r="E11" s="3"/>
    </row>
    <row r="12" customHeight="1" spans="1:5">
      <c r="A12" s="4" t="s">
        <v>108</v>
      </c>
      <c r="B12" s="2" t="s">
        <v>691</v>
      </c>
      <c r="C12" s="1" t="s">
        <v>678</v>
      </c>
      <c r="D12" s="1" t="s">
        <v>679</v>
      </c>
      <c r="E12" s="3"/>
    </row>
    <row r="13" customHeight="1" spans="1:5">
      <c r="A13" s="1" t="s">
        <v>105</v>
      </c>
      <c r="B13" s="2" t="s">
        <v>692</v>
      </c>
      <c r="C13" s="1" t="s">
        <v>678</v>
      </c>
      <c r="D13" s="1" t="s">
        <v>679</v>
      </c>
      <c r="E13" s="3"/>
    </row>
    <row r="14" customHeight="1" spans="1:5">
      <c r="A14" s="1" t="s">
        <v>114</v>
      </c>
      <c r="B14" s="2" t="s">
        <v>693</v>
      </c>
      <c r="C14" s="1" t="s">
        <v>678</v>
      </c>
      <c r="D14" s="1" t="s">
        <v>679</v>
      </c>
      <c r="E14" s="3"/>
    </row>
    <row r="15" customHeight="1" spans="1:5">
      <c r="A15" s="1" t="s">
        <v>117</v>
      </c>
      <c r="B15" s="2" t="s">
        <v>694</v>
      </c>
      <c r="C15" s="1" t="s">
        <v>678</v>
      </c>
      <c r="D15" s="1" t="s">
        <v>679</v>
      </c>
      <c r="E15" s="3"/>
    </row>
    <row r="16" customHeight="1" spans="1:5">
      <c r="A16" s="1" t="s">
        <v>120</v>
      </c>
      <c r="B16" s="2" t="s">
        <v>695</v>
      </c>
      <c r="C16" s="1" t="s">
        <v>678</v>
      </c>
      <c r="D16" s="1" t="s">
        <v>679</v>
      </c>
      <c r="E16" s="3"/>
    </row>
    <row r="17" customHeight="1" spans="1:5">
      <c r="A17" s="5" t="s">
        <v>696</v>
      </c>
      <c r="B17" s="6" t="s">
        <v>697</v>
      </c>
      <c r="C17" s="5" t="s">
        <v>678</v>
      </c>
      <c r="D17" s="1" t="s">
        <v>679</v>
      </c>
      <c r="E17" s="3"/>
    </row>
    <row r="18" customHeight="1" spans="1:5">
      <c r="A18" s="1" t="s">
        <v>314</v>
      </c>
      <c r="B18" s="2" t="s">
        <v>698</v>
      </c>
      <c r="C18" s="1" t="s">
        <v>678</v>
      </c>
      <c r="D18" s="1" t="s">
        <v>679</v>
      </c>
      <c r="E18" s="3"/>
    </row>
    <row r="19" customHeight="1" spans="1:5">
      <c r="A19" s="1" t="s">
        <v>83</v>
      </c>
      <c r="B19" s="2" t="s">
        <v>699</v>
      </c>
      <c r="C19" s="1" t="s">
        <v>678</v>
      </c>
      <c r="D19" s="1" t="s">
        <v>679</v>
      </c>
      <c r="E19" s="3"/>
    </row>
    <row r="20" customHeight="1" spans="1:5">
      <c r="A20" s="1" t="s">
        <v>86</v>
      </c>
      <c r="B20" s="2" t="s">
        <v>700</v>
      </c>
      <c r="C20" s="1" t="s">
        <v>678</v>
      </c>
      <c r="D20" s="1" t="s">
        <v>679</v>
      </c>
      <c r="E20" s="3"/>
    </row>
    <row r="21" customHeight="1" spans="1:5">
      <c r="A21" s="1" t="s">
        <v>91</v>
      </c>
      <c r="B21" s="2" t="s">
        <v>701</v>
      </c>
      <c r="C21" s="1" t="s">
        <v>678</v>
      </c>
      <c r="D21" s="1" t="s">
        <v>679</v>
      </c>
      <c r="E21" s="3"/>
    </row>
    <row r="22" customHeight="1" spans="1:5">
      <c r="A22" s="1" t="s">
        <v>94</v>
      </c>
      <c r="B22" s="2" t="s">
        <v>702</v>
      </c>
      <c r="C22" s="1" t="s">
        <v>678</v>
      </c>
      <c r="D22" s="1" t="s">
        <v>679</v>
      </c>
      <c r="E22" s="3"/>
    </row>
    <row r="23" customHeight="1" spans="1:5">
      <c r="A23" s="1" t="s">
        <v>102</v>
      </c>
      <c r="B23" s="2" t="s">
        <v>703</v>
      </c>
      <c r="C23" s="1" t="s">
        <v>678</v>
      </c>
      <c r="D23" s="1" t="s">
        <v>679</v>
      </c>
      <c r="E23" s="3"/>
    </row>
    <row r="24" customHeight="1" spans="1:5">
      <c r="A24" s="1" t="s">
        <v>318</v>
      </c>
      <c r="B24" s="2" t="s">
        <v>704</v>
      </c>
      <c r="C24" s="1" t="s">
        <v>678</v>
      </c>
      <c r="D24" s="1" t="s">
        <v>679</v>
      </c>
      <c r="E24" s="3"/>
    </row>
    <row r="25" customHeight="1" spans="1:5">
      <c r="A25" s="1" t="s">
        <v>124</v>
      </c>
      <c r="B25" s="2" t="s">
        <v>705</v>
      </c>
      <c r="C25" s="1" t="s">
        <v>678</v>
      </c>
      <c r="D25" s="1" t="s">
        <v>679</v>
      </c>
      <c r="E25" s="3"/>
    </row>
    <row r="26" customHeight="1" spans="1:5">
      <c r="A26" s="1" t="s">
        <v>21</v>
      </c>
      <c r="B26" s="2" t="s">
        <v>706</v>
      </c>
      <c r="C26" s="1" t="s">
        <v>707</v>
      </c>
      <c r="D26" s="1" t="s">
        <v>679</v>
      </c>
      <c r="E26" s="3">
        <v>701</v>
      </c>
    </row>
    <row r="27" customHeight="1" spans="1:5">
      <c r="A27" s="1" t="s">
        <v>38</v>
      </c>
      <c r="B27" s="2" t="s">
        <v>708</v>
      </c>
      <c r="C27" s="1" t="s">
        <v>707</v>
      </c>
      <c r="D27" s="1" t="s">
        <v>679</v>
      </c>
      <c r="E27" s="3">
        <v>701</v>
      </c>
    </row>
    <row r="28" customHeight="1" spans="1:5">
      <c r="A28" s="1" t="s">
        <v>63</v>
      </c>
      <c r="B28" s="2" t="s">
        <v>709</v>
      </c>
      <c r="C28" s="1" t="s">
        <v>707</v>
      </c>
      <c r="D28" s="1" t="s">
        <v>679</v>
      </c>
      <c r="E28" s="3">
        <v>701</v>
      </c>
    </row>
    <row r="29" customHeight="1" spans="1:5">
      <c r="A29" s="1" t="s">
        <v>97</v>
      </c>
      <c r="B29" s="2" t="s">
        <v>710</v>
      </c>
      <c r="C29" s="1" t="s">
        <v>707</v>
      </c>
      <c r="D29" s="1" t="s">
        <v>679</v>
      </c>
      <c r="E29" s="3">
        <v>701</v>
      </c>
    </row>
    <row r="30" customHeight="1" spans="1:5">
      <c r="A30" s="1" t="s">
        <v>127</v>
      </c>
      <c r="B30" s="2" t="s">
        <v>711</v>
      </c>
      <c r="C30" s="1" t="s">
        <v>707</v>
      </c>
      <c r="D30" s="1" t="s">
        <v>679</v>
      </c>
      <c r="E30" s="3">
        <v>701</v>
      </c>
    </row>
    <row r="31" customHeight="1" spans="1:5">
      <c r="A31" s="1" t="s">
        <v>130</v>
      </c>
      <c r="B31" s="2" t="s">
        <v>712</v>
      </c>
      <c r="C31" s="1" t="s">
        <v>707</v>
      </c>
      <c r="D31" s="1" t="s">
        <v>679</v>
      </c>
      <c r="E31" s="3">
        <v>701</v>
      </c>
    </row>
    <row r="32" customHeight="1" spans="1:5">
      <c r="A32" s="1" t="s">
        <v>136</v>
      </c>
      <c r="B32" s="2" t="s">
        <v>713</v>
      </c>
      <c r="C32" s="1" t="s">
        <v>707</v>
      </c>
      <c r="D32" s="1" t="s">
        <v>679</v>
      </c>
      <c r="E32" s="3">
        <v>701</v>
      </c>
    </row>
    <row r="33" customHeight="1" spans="1:5">
      <c r="A33" s="1" t="s">
        <v>139</v>
      </c>
      <c r="B33" s="2" t="s">
        <v>714</v>
      </c>
      <c r="C33" s="1" t="s">
        <v>707</v>
      </c>
      <c r="D33" s="1" t="s">
        <v>679</v>
      </c>
      <c r="E33" s="3">
        <v>701</v>
      </c>
    </row>
    <row r="34" customHeight="1" spans="1:5">
      <c r="A34" s="1" t="s">
        <v>144</v>
      </c>
      <c r="B34" s="2" t="s">
        <v>715</v>
      </c>
      <c r="C34" s="1" t="s">
        <v>707</v>
      </c>
      <c r="D34" s="1" t="s">
        <v>679</v>
      </c>
      <c r="E34" s="3">
        <v>701</v>
      </c>
    </row>
    <row r="35" customHeight="1" spans="1:5">
      <c r="A35" s="1" t="s">
        <v>173</v>
      </c>
      <c r="B35" s="2" t="s">
        <v>716</v>
      </c>
      <c r="C35" s="1" t="s">
        <v>707</v>
      </c>
      <c r="D35" s="1" t="s">
        <v>679</v>
      </c>
      <c r="E35" s="3">
        <v>701</v>
      </c>
    </row>
    <row r="36" customHeight="1" spans="1:5">
      <c r="A36" s="1" t="s">
        <v>177</v>
      </c>
      <c r="B36" s="2" t="s">
        <v>717</v>
      </c>
      <c r="C36" s="1" t="s">
        <v>707</v>
      </c>
      <c r="D36" s="1" t="s">
        <v>679</v>
      </c>
      <c r="E36" s="3">
        <v>701</v>
      </c>
    </row>
    <row r="37" customHeight="1" spans="1:5">
      <c r="A37" s="1" t="s">
        <v>190</v>
      </c>
      <c r="B37" s="2" t="s">
        <v>718</v>
      </c>
      <c r="C37" s="1" t="s">
        <v>707</v>
      </c>
      <c r="D37" s="1" t="s">
        <v>679</v>
      </c>
      <c r="E37" s="3">
        <v>701</v>
      </c>
    </row>
    <row r="38" customHeight="1" spans="1:5">
      <c r="A38" s="1" t="s">
        <v>203</v>
      </c>
      <c r="B38" s="2" t="s">
        <v>719</v>
      </c>
      <c r="C38" s="1" t="s">
        <v>707</v>
      </c>
      <c r="D38" s="1" t="s">
        <v>679</v>
      </c>
      <c r="E38" s="3">
        <v>701</v>
      </c>
    </row>
    <row r="39" customHeight="1" spans="1:5">
      <c r="A39" s="1" t="s">
        <v>244</v>
      </c>
      <c r="B39" s="2" t="s">
        <v>720</v>
      </c>
      <c r="C39" s="1" t="s">
        <v>707</v>
      </c>
      <c r="D39" s="1" t="s">
        <v>679</v>
      </c>
      <c r="E39" s="3">
        <v>701</v>
      </c>
    </row>
    <row r="40" customHeight="1" spans="1:5">
      <c r="A40" s="1" t="s">
        <v>309</v>
      </c>
      <c r="B40" s="2" t="s">
        <v>721</v>
      </c>
      <c r="C40" s="1" t="s">
        <v>707</v>
      </c>
      <c r="D40" s="1" t="s">
        <v>679</v>
      </c>
      <c r="E40" s="3">
        <v>701</v>
      </c>
    </row>
    <row r="41" customHeight="1" spans="1:5">
      <c r="A41" s="1" t="s">
        <v>321</v>
      </c>
      <c r="B41" s="2" t="s">
        <v>722</v>
      </c>
      <c r="C41" s="1" t="s">
        <v>707</v>
      </c>
      <c r="D41" s="1" t="s">
        <v>679</v>
      </c>
      <c r="E41" s="3">
        <v>703</v>
      </c>
    </row>
    <row r="42" customHeight="1" spans="1:5">
      <c r="A42" s="1" t="s">
        <v>322</v>
      </c>
      <c r="B42" s="2" t="s">
        <v>723</v>
      </c>
      <c r="C42" s="1" t="s">
        <v>707</v>
      </c>
      <c r="D42" s="1" t="s">
        <v>679</v>
      </c>
      <c r="E42" s="3">
        <v>703</v>
      </c>
    </row>
    <row r="43" customHeight="1" spans="1:5">
      <c r="A43" s="1" t="s">
        <v>325</v>
      </c>
      <c r="B43" s="2" t="s">
        <v>724</v>
      </c>
      <c r="C43" s="1" t="s">
        <v>707</v>
      </c>
      <c r="D43" s="1" t="s">
        <v>679</v>
      </c>
      <c r="E43" s="3">
        <v>703</v>
      </c>
    </row>
    <row r="44" customHeight="1" spans="1:5">
      <c r="A44" s="1" t="s">
        <v>458</v>
      </c>
      <c r="B44" s="2" t="s">
        <v>725</v>
      </c>
      <c r="C44" s="1" t="s">
        <v>707</v>
      </c>
      <c r="D44" s="1" t="s">
        <v>679</v>
      </c>
      <c r="E44" s="3">
        <v>703</v>
      </c>
    </row>
    <row r="45" customHeight="1" spans="1:5">
      <c r="A45" s="1" t="s">
        <v>726</v>
      </c>
      <c r="B45" s="2" t="s">
        <v>727</v>
      </c>
      <c r="C45" s="1" t="s">
        <v>707</v>
      </c>
      <c r="D45" s="1" t="s">
        <v>679</v>
      </c>
      <c r="E45" s="3">
        <v>703</v>
      </c>
    </row>
    <row r="46" customHeight="1" spans="1:5">
      <c r="A46" s="1" t="s">
        <v>728</v>
      </c>
      <c r="B46" s="2" t="s">
        <v>729</v>
      </c>
      <c r="C46" s="1" t="s">
        <v>707</v>
      </c>
      <c r="D46" s="1" t="s">
        <v>679</v>
      </c>
      <c r="E46" s="3">
        <v>703</v>
      </c>
    </row>
    <row r="47" customHeight="1" spans="1:5">
      <c r="A47" s="1" t="s">
        <v>730</v>
      </c>
      <c r="B47" s="2" t="s">
        <v>731</v>
      </c>
      <c r="C47" s="1" t="s">
        <v>707</v>
      </c>
      <c r="D47" s="1" t="s">
        <v>679</v>
      </c>
      <c r="E47" s="3">
        <v>703</v>
      </c>
    </row>
    <row r="48" customHeight="1" spans="1:5">
      <c r="A48" s="1" t="s">
        <v>732</v>
      </c>
      <c r="B48" s="2" t="s">
        <v>733</v>
      </c>
      <c r="C48" s="1" t="s">
        <v>707</v>
      </c>
      <c r="D48" s="1" t="s">
        <v>679</v>
      </c>
      <c r="E48" s="3">
        <v>703</v>
      </c>
    </row>
    <row r="49" customHeight="1" spans="1:5">
      <c r="A49" s="1" t="s">
        <v>734</v>
      </c>
      <c r="B49" s="2" t="s">
        <v>735</v>
      </c>
      <c r="C49" s="1" t="s">
        <v>707</v>
      </c>
      <c r="D49" s="1" t="s">
        <v>679</v>
      </c>
      <c r="E49" s="3">
        <v>703</v>
      </c>
    </row>
    <row r="50" customHeight="1" spans="1:5">
      <c r="A50" s="1" t="s">
        <v>736</v>
      </c>
      <c r="B50" s="2" t="s">
        <v>737</v>
      </c>
      <c r="C50" s="1" t="s">
        <v>707</v>
      </c>
      <c r="D50" s="1" t="s">
        <v>679</v>
      </c>
      <c r="E50" s="3">
        <v>703</v>
      </c>
    </row>
    <row r="51" customHeight="1" spans="1:5">
      <c r="A51" s="1" t="s">
        <v>738</v>
      </c>
      <c r="B51" s="2" t="s">
        <v>739</v>
      </c>
      <c r="C51" s="1" t="s">
        <v>707</v>
      </c>
      <c r="D51" s="1" t="s">
        <v>679</v>
      </c>
      <c r="E51" s="3">
        <v>703</v>
      </c>
    </row>
    <row r="52" customHeight="1" spans="1:5">
      <c r="A52" s="1" t="s">
        <v>740</v>
      </c>
      <c r="B52" s="2" t="s">
        <v>741</v>
      </c>
      <c r="C52" s="1" t="s">
        <v>707</v>
      </c>
      <c r="D52" s="1" t="s">
        <v>679</v>
      </c>
      <c r="E52" s="3">
        <v>703</v>
      </c>
    </row>
    <row r="53" customHeight="1" spans="1:5">
      <c r="A53" s="1" t="s">
        <v>742</v>
      </c>
      <c r="B53" s="2" t="s">
        <v>743</v>
      </c>
      <c r="C53" s="1" t="s">
        <v>707</v>
      </c>
      <c r="D53" s="1" t="s">
        <v>679</v>
      </c>
      <c r="E53" s="3">
        <v>703</v>
      </c>
    </row>
    <row r="54" customHeight="1" spans="1:5">
      <c r="A54" s="1" t="s">
        <v>744</v>
      </c>
      <c r="B54" s="2" t="s">
        <v>745</v>
      </c>
      <c r="C54" s="1" t="s">
        <v>707</v>
      </c>
      <c r="D54" s="1" t="s">
        <v>679</v>
      </c>
      <c r="E54" s="3">
        <v>703</v>
      </c>
    </row>
    <row r="55" customHeight="1" spans="1:5">
      <c r="A55" s="1" t="s">
        <v>746</v>
      </c>
      <c r="B55" s="2" t="s">
        <v>747</v>
      </c>
      <c r="C55" s="1" t="s">
        <v>707</v>
      </c>
      <c r="D55" s="1" t="s">
        <v>679</v>
      </c>
      <c r="E55" s="3">
        <v>703</v>
      </c>
    </row>
    <row r="56" customHeight="1" spans="1:5">
      <c r="A56" s="1" t="s">
        <v>748</v>
      </c>
      <c r="B56" s="2" t="s">
        <v>749</v>
      </c>
      <c r="C56" s="1" t="s">
        <v>707</v>
      </c>
      <c r="D56" s="1" t="s">
        <v>679</v>
      </c>
      <c r="E56" s="3">
        <v>703</v>
      </c>
    </row>
    <row r="57" customHeight="1" spans="1:5">
      <c r="A57" s="1" t="s">
        <v>750</v>
      </c>
      <c r="B57" s="2" t="s">
        <v>751</v>
      </c>
      <c r="C57" s="1" t="s">
        <v>707</v>
      </c>
      <c r="D57" s="1" t="s">
        <v>679</v>
      </c>
      <c r="E57" s="3">
        <v>703</v>
      </c>
    </row>
    <row r="58" customHeight="1" spans="1:5">
      <c r="A58" s="1" t="s">
        <v>752</v>
      </c>
      <c r="B58" s="2" t="s">
        <v>753</v>
      </c>
      <c r="C58" s="1" t="s">
        <v>707</v>
      </c>
      <c r="D58" s="1" t="s">
        <v>679</v>
      </c>
      <c r="E58" s="3">
        <v>703</v>
      </c>
    </row>
    <row r="59" customHeight="1" spans="1:5">
      <c r="A59" s="1" t="s">
        <v>754</v>
      </c>
      <c r="B59" s="2" t="s">
        <v>755</v>
      </c>
      <c r="C59" s="1" t="s">
        <v>707</v>
      </c>
      <c r="D59" s="1" t="s">
        <v>679</v>
      </c>
      <c r="E59" s="3">
        <v>703</v>
      </c>
    </row>
    <row r="60" customHeight="1" spans="1:5">
      <c r="A60" s="1" t="s">
        <v>756</v>
      </c>
      <c r="B60" s="2" t="s">
        <v>757</v>
      </c>
      <c r="C60" s="1" t="s">
        <v>707</v>
      </c>
      <c r="D60" s="1" t="s">
        <v>679</v>
      </c>
      <c r="E60" s="3">
        <v>703</v>
      </c>
    </row>
    <row r="61" customHeight="1" spans="1:5">
      <c r="A61" s="1" t="s">
        <v>758</v>
      </c>
      <c r="B61" s="2" t="s">
        <v>759</v>
      </c>
      <c r="C61" s="1" t="s">
        <v>707</v>
      </c>
      <c r="D61" s="1" t="s">
        <v>679</v>
      </c>
      <c r="E61" s="3">
        <v>703</v>
      </c>
    </row>
    <row r="62" customHeight="1" spans="1:5">
      <c r="A62" s="1" t="s">
        <v>760</v>
      </c>
      <c r="B62" s="2" t="s">
        <v>761</v>
      </c>
      <c r="C62" s="1" t="s">
        <v>707</v>
      </c>
      <c r="D62" s="1" t="s">
        <v>679</v>
      </c>
      <c r="E62" s="3">
        <v>703</v>
      </c>
    </row>
    <row r="63" customHeight="1" spans="1:5">
      <c r="A63" s="1" t="s">
        <v>762</v>
      </c>
      <c r="B63" s="2" t="s">
        <v>763</v>
      </c>
      <c r="C63" s="1" t="s">
        <v>707</v>
      </c>
      <c r="D63" s="1" t="s">
        <v>679</v>
      </c>
      <c r="E63" s="3">
        <v>703</v>
      </c>
    </row>
    <row r="64" customHeight="1" spans="1:5">
      <c r="A64" s="1" t="s">
        <v>764</v>
      </c>
      <c r="B64" s="2" t="s">
        <v>765</v>
      </c>
      <c r="C64" s="1" t="s">
        <v>707</v>
      </c>
      <c r="D64" s="1" t="s">
        <v>679</v>
      </c>
      <c r="E64" s="3">
        <v>703</v>
      </c>
    </row>
    <row r="65" customHeight="1" spans="1:5">
      <c r="A65" s="1" t="s">
        <v>766</v>
      </c>
      <c r="B65" s="2" t="s">
        <v>767</v>
      </c>
      <c r="C65" s="1" t="s">
        <v>707</v>
      </c>
      <c r="D65" s="1" t="s">
        <v>679</v>
      </c>
      <c r="E65" s="3">
        <v>703</v>
      </c>
    </row>
    <row r="66" customHeight="1" spans="1:5">
      <c r="A66" s="1" t="s">
        <v>768</v>
      </c>
      <c r="B66" s="2" t="s">
        <v>769</v>
      </c>
      <c r="C66" s="1" t="s">
        <v>707</v>
      </c>
      <c r="D66" s="1" t="s">
        <v>679</v>
      </c>
      <c r="E66" s="3">
        <v>703</v>
      </c>
    </row>
    <row r="67" customHeight="1" spans="1:5">
      <c r="A67" s="1" t="s">
        <v>770</v>
      </c>
      <c r="B67" s="2" t="s">
        <v>771</v>
      </c>
      <c r="C67" s="1" t="s">
        <v>707</v>
      </c>
      <c r="D67" s="1" t="s">
        <v>679</v>
      </c>
      <c r="E67" s="3">
        <v>703</v>
      </c>
    </row>
    <row r="68" customHeight="1" spans="1:5">
      <c r="A68" s="1" t="s">
        <v>772</v>
      </c>
      <c r="B68" s="2" t="s">
        <v>773</v>
      </c>
      <c r="C68" s="1" t="s">
        <v>707</v>
      </c>
      <c r="D68" s="1" t="s">
        <v>679</v>
      </c>
      <c r="E68" s="3">
        <v>703</v>
      </c>
    </row>
    <row r="69" customHeight="1" spans="1:5">
      <c r="A69" s="4" t="s">
        <v>774</v>
      </c>
      <c r="B69" s="7" t="s">
        <v>775</v>
      </c>
      <c r="C69" s="1" t="s">
        <v>707</v>
      </c>
      <c r="D69" s="1" t="s">
        <v>679</v>
      </c>
      <c r="E69" s="3">
        <v>703</v>
      </c>
    </row>
    <row r="70" customHeight="1" spans="1:5">
      <c r="A70" s="1" t="s">
        <v>776</v>
      </c>
      <c r="B70" s="2" t="s">
        <v>777</v>
      </c>
      <c r="C70" s="1" t="s">
        <v>707</v>
      </c>
      <c r="D70" s="1" t="s">
        <v>679</v>
      </c>
      <c r="E70" s="3">
        <v>703</v>
      </c>
    </row>
    <row r="71" customHeight="1" spans="1:5">
      <c r="A71" s="1" t="s">
        <v>778</v>
      </c>
      <c r="B71" s="2" t="s">
        <v>779</v>
      </c>
      <c r="C71" s="1" t="s">
        <v>707</v>
      </c>
      <c r="D71" s="1" t="s">
        <v>679</v>
      </c>
      <c r="E71" s="3">
        <v>703</v>
      </c>
    </row>
    <row r="72" customHeight="1" spans="1:5">
      <c r="A72" s="1" t="s">
        <v>780</v>
      </c>
      <c r="B72" s="2" t="s">
        <v>781</v>
      </c>
      <c r="C72" s="1" t="s">
        <v>707</v>
      </c>
      <c r="D72" s="1" t="s">
        <v>679</v>
      </c>
      <c r="E72" s="3">
        <v>703</v>
      </c>
    </row>
    <row r="73" customHeight="1" spans="1:5">
      <c r="A73" s="1" t="s">
        <v>513</v>
      </c>
      <c r="B73" s="2" t="s">
        <v>782</v>
      </c>
      <c r="C73" s="1" t="s">
        <v>707</v>
      </c>
      <c r="D73" s="1" t="s">
        <v>679</v>
      </c>
      <c r="E73" s="3">
        <v>706</v>
      </c>
    </row>
    <row r="74" customHeight="1" spans="1:5">
      <c r="A74" s="1" t="s">
        <v>507</v>
      </c>
      <c r="B74" s="2" t="s">
        <v>783</v>
      </c>
      <c r="C74" s="1" t="s">
        <v>707</v>
      </c>
      <c r="D74" s="1" t="s">
        <v>679</v>
      </c>
      <c r="E74" s="3">
        <v>706</v>
      </c>
    </row>
    <row r="75" customHeight="1" spans="1:5">
      <c r="A75" s="1" t="s">
        <v>520</v>
      </c>
      <c r="B75" s="2" t="s">
        <v>784</v>
      </c>
      <c r="C75" s="1" t="s">
        <v>707</v>
      </c>
      <c r="D75" s="1" t="s">
        <v>679</v>
      </c>
      <c r="E75" s="3">
        <v>706</v>
      </c>
    </row>
    <row r="76" customHeight="1" spans="1:5">
      <c r="A76" s="1" t="s">
        <v>523</v>
      </c>
      <c r="B76" s="2" t="s">
        <v>785</v>
      </c>
      <c r="C76" s="1" t="s">
        <v>707</v>
      </c>
      <c r="D76" s="1" t="s">
        <v>679</v>
      </c>
      <c r="E76" s="3">
        <v>706</v>
      </c>
    </row>
    <row r="77" customHeight="1" spans="1:5">
      <c r="A77" s="1" t="s">
        <v>586</v>
      </c>
      <c r="B77" s="2" t="s">
        <v>786</v>
      </c>
      <c r="C77" s="1" t="s">
        <v>707</v>
      </c>
      <c r="D77" s="1" t="s">
        <v>679</v>
      </c>
      <c r="E77" s="3">
        <v>707</v>
      </c>
    </row>
    <row r="78" customHeight="1" spans="1:5">
      <c r="A78" s="1" t="s">
        <v>590</v>
      </c>
      <c r="B78" s="2" t="s">
        <v>787</v>
      </c>
      <c r="C78" s="1" t="s">
        <v>707</v>
      </c>
      <c r="D78" s="1" t="s">
        <v>679</v>
      </c>
      <c r="E78" s="3">
        <v>707</v>
      </c>
    </row>
    <row r="79" customHeight="1" spans="1:5">
      <c r="A79" s="1" t="s">
        <v>595</v>
      </c>
      <c r="B79" s="2" t="s">
        <v>788</v>
      </c>
      <c r="C79" s="1" t="s">
        <v>707</v>
      </c>
      <c r="D79" s="1" t="s">
        <v>679</v>
      </c>
      <c r="E79" s="3">
        <v>707</v>
      </c>
    </row>
    <row r="80" customHeight="1" spans="1:5">
      <c r="A80" s="1" t="s">
        <v>598</v>
      </c>
      <c r="B80" s="2" t="s">
        <v>789</v>
      </c>
      <c r="C80" s="1" t="s">
        <v>707</v>
      </c>
      <c r="D80" s="1" t="s">
        <v>679</v>
      </c>
      <c r="E80" s="3">
        <v>707</v>
      </c>
    </row>
    <row r="81" customHeight="1" spans="1:6">
      <c r="A81" s="1" t="s">
        <v>603</v>
      </c>
      <c r="B81" s="2" t="s">
        <v>790</v>
      </c>
      <c r="C81" s="1" t="s">
        <v>707</v>
      </c>
      <c r="D81" s="1" t="s">
        <v>679</v>
      </c>
      <c r="E81" s="3">
        <v>708</v>
      </c>
    </row>
    <row r="82" customHeight="1" spans="1:6">
      <c r="A82" s="1" t="s">
        <v>607</v>
      </c>
      <c r="B82" s="2" t="s">
        <v>791</v>
      </c>
      <c r="C82" s="1" t="s">
        <v>707</v>
      </c>
      <c r="D82" s="1" t="s">
        <v>679</v>
      </c>
      <c r="E82" s="3">
        <v>708</v>
      </c>
    </row>
    <row r="83" customHeight="1" spans="1:6">
      <c r="A83" s="1" t="s">
        <v>610</v>
      </c>
      <c r="B83" s="2" t="s">
        <v>792</v>
      </c>
      <c r="C83" s="1" t="s">
        <v>707</v>
      </c>
      <c r="D83" s="1" t="s">
        <v>679</v>
      </c>
      <c r="E83" s="3">
        <v>708</v>
      </c>
    </row>
    <row r="84" customHeight="1" spans="1:6">
      <c r="A84" s="1" t="s">
        <v>613</v>
      </c>
      <c r="B84" s="8" t="s">
        <v>793</v>
      </c>
      <c r="C84" s="1" t="s">
        <v>707</v>
      </c>
      <c r="D84" s="1" t="s">
        <v>679</v>
      </c>
      <c r="E84" s="3">
        <v>708</v>
      </c>
    </row>
    <row r="85" customHeight="1" spans="1:6">
      <c r="A85" s="1" t="s">
        <v>616</v>
      </c>
      <c r="B85" s="2" t="s">
        <v>794</v>
      </c>
      <c r="C85" s="1" t="s">
        <v>707</v>
      </c>
      <c r="D85" s="1" t="s">
        <v>679</v>
      </c>
      <c r="E85" s="3">
        <v>708</v>
      </c>
    </row>
    <row r="86" customHeight="1" spans="1:6">
      <c r="A86" s="1" t="s">
        <v>619</v>
      </c>
      <c r="B86" s="2" t="s">
        <v>795</v>
      </c>
      <c r="C86" s="1" t="s">
        <v>707</v>
      </c>
      <c r="D86" s="1" t="s">
        <v>679</v>
      </c>
      <c r="E86" s="3">
        <v>708</v>
      </c>
    </row>
    <row r="87" customHeight="1" spans="1:6">
      <c r="A87" s="1" t="s">
        <v>622</v>
      </c>
      <c r="B87" s="2" t="s">
        <v>796</v>
      </c>
      <c r="C87" s="1" t="s">
        <v>707</v>
      </c>
      <c r="D87" s="1" t="s">
        <v>679</v>
      </c>
      <c r="E87" s="3">
        <v>708</v>
      </c>
    </row>
    <row r="88" customHeight="1" spans="1:6">
      <c r="A88" s="1" t="s">
        <v>625</v>
      </c>
      <c r="B88" s="2" t="s">
        <v>797</v>
      </c>
      <c r="C88" s="1" t="s">
        <v>707</v>
      </c>
      <c r="D88" s="1" t="s">
        <v>679</v>
      </c>
      <c r="E88" s="3">
        <v>708</v>
      </c>
    </row>
    <row r="89" customHeight="1" spans="1:6">
      <c r="A89" s="1" t="s">
        <v>628</v>
      </c>
      <c r="B89" s="2" t="s">
        <v>798</v>
      </c>
      <c r="C89" s="1" t="s">
        <v>707</v>
      </c>
      <c r="D89" s="1" t="s">
        <v>679</v>
      </c>
      <c r="E89" s="3">
        <v>708</v>
      </c>
    </row>
    <row r="90" customHeight="1" spans="1:6">
      <c r="A90" s="1" t="s">
        <v>634</v>
      </c>
      <c r="B90" s="2" t="s">
        <v>799</v>
      </c>
      <c r="C90" s="1" t="s">
        <v>707</v>
      </c>
      <c r="D90" s="1" t="s">
        <v>679</v>
      </c>
      <c r="E90" s="3">
        <v>710</v>
      </c>
    </row>
    <row r="91" customHeight="1" spans="1:6">
      <c r="A91" s="1" t="s">
        <v>637</v>
      </c>
      <c r="B91" s="2" t="s">
        <v>800</v>
      </c>
      <c r="C91" s="1" t="s">
        <v>707</v>
      </c>
      <c r="D91" s="1" t="s">
        <v>679</v>
      </c>
      <c r="E91" s="3">
        <v>710</v>
      </c>
    </row>
    <row r="92" customHeight="1" spans="1:6">
      <c r="A92" s="1" t="s">
        <v>644</v>
      </c>
      <c r="B92" s="2" t="s">
        <v>801</v>
      </c>
      <c r="C92" s="1" t="s">
        <v>707</v>
      </c>
      <c r="D92" s="1" t="s">
        <v>679</v>
      </c>
      <c r="E92" s="3">
        <v>710</v>
      </c>
      <c r="F92" s="9"/>
    </row>
    <row r="93" customHeight="1" spans="1:6">
      <c r="A93" s="1" t="s">
        <v>650</v>
      </c>
      <c r="B93" s="2" t="s">
        <v>802</v>
      </c>
      <c r="C93" s="1" t="s">
        <v>707</v>
      </c>
      <c r="D93" s="1" t="s">
        <v>679</v>
      </c>
      <c r="E93" s="3">
        <v>715</v>
      </c>
      <c r="F93" s="10"/>
    </row>
    <row r="94" customHeight="1" spans="1:6">
      <c r="A94" s="1" t="s">
        <v>661</v>
      </c>
      <c r="B94" s="2" t="s">
        <v>803</v>
      </c>
      <c r="C94" s="1" t="s">
        <v>707</v>
      </c>
      <c r="D94" s="1" t="s">
        <v>679</v>
      </c>
      <c r="E94" s="3">
        <v>715</v>
      </c>
      <c r="F94" s="10"/>
    </row>
    <row r="95" customHeight="1" spans="1:6">
      <c r="A95" s="4" t="s">
        <v>804</v>
      </c>
      <c r="B95" s="7"/>
      <c r="C95" s="1" t="s">
        <v>707</v>
      </c>
      <c r="D95" s="1" t="s">
        <v>679</v>
      </c>
      <c r="E95" s="3"/>
      <c r="F95" s="10"/>
    </row>
    <row r="96" customHeight="1" spans="1:6">
      <c r="A96" s="1" t="s">
        <v>664</v>
      </c>
      <c r="B96" s="2" t="s">
        <v>805</v>
      </c>
      <c r="C96" s="1" t="s">
        <v>707</v>
      </c>
      <c r="D96" s="1" t="s">
        <v>679</v>
      </c>
      <c r="E96" s="3">
        <v>716</v>
      </c>
      <c r="F96" s="11"/>
    </row>
    <row r="97" customHeight="1" spans="1:6">
      <c r="A97" s="1" t="s">
        <v>668</v>
      </c>
      <c r="B97" s="2" t="s">
        <v>806</v>
      </c>
      <c r="C97" s="1" t="s">
        <v>707</v>
      </c>
      <c r="D97" s="1" t="s">
        <v>679</v>
      </c>
      <c r="E97" s="3">
        <v>716</v>
      </c>
      <c r="F97" s="9"/>
    </row>
    <row r="98" customHeight="1" spans="1:6">
      <c r="A98" s="1" t="s">
        <v>671</v>
      </c>
      <c r="B98" s="2" t="s">
        <v>807</v>
      </c>
      <c r="C98" s="1" t="s">
        <v>707</v>
      </c>
      <c r="D98" s="1" t="s">
        <v>679</v>
      </c>
      <c r="E98" s="3">
        <v>716</v>
      </c>
      <c r="F98" s="9"/>
    </row>
    <row r="99" customHeight="1" spans="1:6">
      <c r="A99" s="1" t="s">
        <v>674</v>
      </c>
      <c r="B99" s="2" t="s">
        <v>808</v>
      </c>
      <c r="C99" s="1" t="s">
        <v>707</v>
      </c>
      <c r="D99" s="1" t="s">
        <v>679</v>
      </c>
      <c r="E99" s="3">
        <v>716</v>
      </c>
      <c r="F99" s="9"/>
    </row>
    <row r="100" customHeight="1" spans="1:6">
      <c r="A100" s="9"/>
      <c r="D100" s="9"/>
      <c r="E100" s="9"/>
      <c r="F100" s="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陆心怡</cp:lastModifiedBy>
  <dcterms:created xsi:type="dcterms:W3CDTF">2026-07-18T10:21:00Z</dcterms:created>
  <dcterms:modified xsi:type="dcterms:W3CDTF">2026-07-18T02:23:28Z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6132E1DE5EC444A98A065A9928ABB285_12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